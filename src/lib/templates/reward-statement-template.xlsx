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defaultThemeVersion="124226"/>
  <mc:AlternateContent xmlns:mc="http://schemas.openxmlformats.org/markup-compatibility/2006">
    <mc:Choice Requires="x15">
      <x15ac:absPath xmlns:x15ac="http://schemas.microsoft.com/office/spreadsheetml/2010/11/ac" url="/Users/ishiimasataka/Dropbox/GakuNavi/1_事務/2_経理/3_支払明細書/2024/2024_08/"/>
    </mc:Choice>
  </mc:AlternateContent>
  <xr:revisionPtr revIDLastSave="0" documentId="13_ncr:1_{4A4B7B3D-9111-3940-86ED-C2C977AB9A0F}" xr6:coauthVersionLast="47" xr6:coauthVersionMax="47" xr10:uidLastSave="{00000000-0000-0000-0000-000000000000}"/>
  <bookViews>
    <workbookView xWindow="0" yWindow="500" windowWidth="28800" windowHeight="17500" xr2:uid="{00000000-000D-0000-FFFF-FFFF00000000}"/>
  </bookViews>
  <sheets>
    <sheet name="見積書" sheetId="15" r:id="rId1"/>
    <sheet name="JW請求書" sheetId="20" state="hidden" r:id="rId2"/>
    <sheet name="【代理店】ANE契約書" sheetId="6" state="hidden" r:id="rId3"/>
    <sheet name="【代理店】AFI契約書（面接）" sheetId="5" state="hidden" r:id="rId4"/>
    <sheet name="【代理店】AFI契約書（応募）" sheetId="18" state="hidden" r:id="rId5"/>
    <sheet name="【代理店】AFI契約書（記入例）" sheetId="19" state="hidden" r:id="rId6"/>
    <sheet name="【代理店】ANE契約書 (記入例)" sheetId="25" state="hidden" r:id="rId7"/>
  </sheets>
  <definedNames>
    <definedName name="_xlnm.Print_Area" localSheetId="2">【代理店】ANE契約書!$A$1:$BL$38</definedName>
    <definedName name="_xlnm.Print_Area" localSheetId="6">'【代理店】ANE契約書 (記入例)'!$A$1:$BL$38</definedName>
    <definedName name="_xlnm.Print_Area" localSheetId="1">JW請求書!$A$1:$AB$50</definedName>
    <definedName name="_xlnm.Print_Area" localSheetId="0">見積書!$A$1:$AB$48</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41" i="15" l="1"/>
  <c r="W42" i="15" l="1"/>
  <c r="W43" i="15" s="1"/>
  <c r="F15" i="15" s="1"/>
  <c r="V16" i="20"/>
  <c r="M34" i="18"/>
  <c r="F34" i="18"/>
  <c r="M32" i="18"/>
  <c r="M30" i="18"/>
  <c r="M28" i="18"/>
  <c r="AY26" i="18"/>
  <c r="AE26" i="18"/>
  <c r="AE22" i="18"/>
  <c r="M34" i="5"/>
  <c r="F34" i="5"/>
  <c r="M32" i="5"/>
  <c r="M30" i="5"/>
  <c r="M28" i="5"/>
  <c r="AY26" i="5"/>
  <c r="AE26" i="5"/>
  <c r="AE22" i="5"/>
  <c r="B5" i="20"/>
  <c r="B10" i="20"/>
  <c r="X49" i="20"/>
  <c r="T49" i="20"/>
  <c r="R39" i="20"/>
  <c r="N39" i="20"/>
  <c r="B39" i="20"/>
  <c r="R38" i="20"/>
  <c r="N38" i="20"/>
  <c r="B38" i="20"/>
  <c r="R37" i="20"/>
  <c r="N37" i="20"/>
  <c r="B37" i="20"/>
  <c r="R36" i="20"/>
  <c r="N36" i="20"/>
  <c r="B36" i="20"/>
  <c r="R35" i="20"/>
  <c r="N35" i="20"/>
  <c r="B35" i="20"/>
  <c r="R34" i="20"/>
  <c r="N34" i="20"/>
  <c r="B34" i="20"/>
  <c r="R33" i="20"/>
  <c r="N33" i="20"/>
  <c r="B33" i="20"/>
  <c r="R32" i="20"/>
  <c r="N32" i="20"/>
  <c r="B32" i="20"/>
  <c r="R31" i="20"/>
  <c r="N31" i="20"/>
  <c r="B31" i="20"/>
  <c r="R30" i="20"/>
  <c r="N30" i="20"/>
  <c r="B30" i="20"/>
  <c r="R29" i="20"/>
  <c r="N29" i="20"/>
  <c r="B29" i="20"/>
  <c r="R28" i="20"/>
  <c r="N28" i="20"/>
  <c r="B28" i="20"/>
  <c r="R27" i="20"/>
  <c r="N27" i="20"/>
  <c r="B27" i="20"/>
  <c r="R26" i="20"/>
  <c r="N26" i="20"/>
  <c r="B26" i="20"/>
  <c r="R25" i="20"/>
  <c r="W25" i="20" s="1"/>
  <c r="N25" i="20"/>
  <c r="B25" i="20"/>
  <c r="R24" i="20"/>
  <c r="N24" i="20"/>
  <c r="B24" i="20"/>
  <c r="R23" i="20"/>
  <c r="N23" i="20"/>
  <c r="B23" i="20"/>
  <c r="R22" i="20"/>
  <c r="N22" i="20"/>
  <c r="B22" i="20"/>
  <c r="F19" i="20"/>
  <c r="F18" i="20"/>
  <c r="V17" i="20"/>
  <c r="V15" i="20"/>
  <c r="B9" i="20"/>
  <c r="B8" i="20"/>
  <c r="W38" i="20"/>
  <c r="V1" i="15"/>
  <c r="Y1" i="15"/>
  <c r="W37" i="20" l="1"/>
  <c r="W29" i="20"/>
  <c r="W23" i="20"/>
  <c r="W31" i="20"/>
  <c r="W39" i="20"/>
  <c r="K26" i="5"/>
  <c r="W26" i="20"/>
  <c r="W34" i="20"/>
  <c r="W24" i="20"/>
  <c r="W27" i="20"/>
  <c r="W32" i="20"/>
  <c r="W33" i="20"/>
  <c r="W30" i="20"/>
  <c r="W35" i="20"/>
  <c r="W22" i="20"/>
  <c r="W28" i="20"/>
  <c r="W36" i="20"/>
  <c r="K26" i="18"/>
  <c r="W41" i="20" l="1"/>
  <c r="W42" i="20" s="1"/>
  <c r="W43" i="20" l="1"/>
  <c r="F15" i="20" s="1"/>
</calcChain>
</file>

<file path=xl/sharedStrings.xml><?xml version="1.0" encoding="utf-8"?>
<sst xmlns="http://schemas.openxmlformats.org/spreadsheetml/2006/main" count="330" uniqueCount="145">
  <si>
    <t>INVOICE</t>
    <phoneticPr fontId="1"/>
  </si>
  <si>
    <t>品目</t>
    <rPh sb="0" eb="2">
      <t>ヒンモク</t>
    </rPh>
    <phoneticPr fontId="1"/>
  </si>
  <si>
    <t>数量</t>
    <rPh sb="0" eb="2">
      <t>スウリョウ</t>
    </rPh>
    <phoneticPr fontId="1"/>
  </si>
  <si>
    <t>単価</t>
    <rPh sb="0" eb="2">
      <t>タンカ</t>
    </rPh>
    <phoneticPr fontId="1"/>
  </si>
  <si>
    <t>小計</t>
    <rPh sb="0" eb="2">
      <t>ショウケイ</t>
    </rPh>
    <phoneticPr fontId="1"/>
  </si>
  <si>
    <t>合計</t>
    <rPh sb="0" eb="2">
      <t>ゴウケイ</t>
    </rPh>
    <phoneticPr fontId="1"/>
  </si>
  <si>
    <t>ご請求金額</t>
    <rPh sb="1" eb="3">
      <t>セイキュウ</t>
    </rPh>
    <rPh sb="3" eb="5">
      <t>キンガク</t>
    </rPh>
    <phoneticPr fontId="1"/>
  </si>
  <si>
    <t>円</t>
    <rPh sb="0" eb="1">
      <t>エン</t>
    </rPh>
    <phoneticPr fontId="1"/>
  </si>
  <si>
    <t>株式会社縁Planning</t>
    <rPh sb="0" eb="4">
      <t>カブシキガイシャ</t>
    </rPh>
    <rPh sb="4" eb="5">
      <t>エン</t>
    </rPh>
    <phoneticPr fontId="1"/>
  </si>
  <si>
    <t>電話番号</t>
    <rPh sb="0" eb="2">
      <t>デンワ</t>
    </rPh>
    <rPh sb="2" eb="4">
      <t>バンゴウ</t>
    </rPh>
    <phoneticPr fontId="1"/>
  </si>
  <si>
    <t>FAX番号</t>
    <rPh sb="3" eb="5">
      <t>バンゴウ</t>
    </rPh>
    <phoneticPr fontId="1"/>
  </si>
  <si>
    <t>担当</t>
    <rPh sb="0" eb="2">
      <t>タントウ</t>
    </rPh>
    <phoneticPr fontId="1"/>
  </si>
  <si>
    <t>E-Mail</t>
    <phoneticPr fontId="1"/>
  </si>
  <si>
    <t>発行年月日</t>
    <rPh sb="0" eb="2">
      <t>ハッコウ</t>
    </rPh>
    <rPh sb="2" eb="5">
      <t>ネンガッピ</t>
    </rPh>
    <phoneticPr fontId="1"/>
  </si>
  <si>
    <t>ご請求期日</t>
    <rPh sb="1" eb="3">
      <t>セイキュウ</t>
    </rPh>
    <rPh sb="3" eb="5">
      <t>キジツ</t>
    </rPh>
    <phoneticPr fontId="1"/>
  </si>
  <si>
    <r>
      <t>消費税</t>
    </r>
    <r>
      <rPr>
        <sz val="8"/>
        <color theme="0"/>
        <rFont val="HG丸ｺﾞｼｯｸM-PRO"/>
        <family val="3"/>
        <charset val="128"/>
      </rPr>
      <t>（8%）</t>
    </r>
    <rPh sb="0" eb="3">
      <t>ショウヒゼイ</t>
    </rPh>
    <phoneticPr fontId="1"/>
  </si>
  <si>
    <t>振込先口座</t>
    <rPh sb="0" eb="2">
      <t>フリコミ</t>
    </rPh>
    <rPh sb="2" eb="3">
      <t>サキ</t>
    </rPh>
    <rPh sb="3" eb="5">
      <t>コウザ</t>
    </rPh>
    <phoneticPr fontId="1"/>
  </si>
  <si>
    <t>（銀行コード：0036　支店番号：252）</t>
    <rPh sb="1" eb="3">
      <t>ギンコウ</t>
    </rPh>
    <rPh sb="12" eb="14">
      <t>シテン</t>
    </rPh>
    <rPh sb="14" eb="16">
      <t>バンゴウ</t>
    </rPh>
    <phoneticPr fontId="1"/>
  </si>
  <si>
    <t>※振込手数料は貴社にてご負担頂きます様お願い致します。</t>
    <rPh sb="1" eb="3">
      <t>フリコミ</t>
    </rPh>
    <rPh sb="3" eb="6">
      <t>テスウリョウ</t>
    </rPh>
    <rPh sb="7" eb="9">
      <t>キシャ</t>
    </rPh>
    <rPh sb="12" eb="14">
      <t>フタン</t>
    </rPh>
    <rPh sb="14" eb="15">
      <t>イタダ</t>
    </rPh>
    <rPh sb="18" eb="19">
      <t>ヨウ</t>
    </rPh>
    <rPh sb="20" eb="21">
      <t>ネガ</t>
    </rPh>
    <rPh sb="22" eb="23">
      <t>イタ</t>
    </rPh>
    <phoneticPr fontId="1"/>
  </si>
  <si>
    <t>平素は格別のご高配を賜り厚く御礼申し上げます。</t>
    <rPh sb="0" eb="2">
      <t>ヘイソ</t>
    </rPh>
    <rPh sb="3" eb="5">
      <t>カクベツ</t>
    </rPh>
    <rPh sb="7" eb="9">
      <t>コウハイ</t>
    </rPh>
    <rPh sb="10" eb="11">
      <t>タマワ</t>
    </rPh>
    <rPh sb="12" eb="13">
      <t>アツ</t>
    </rPh>
    <rPh sb="14" eb="16">
      <t>オンレイ</t>
    </rPh>
    <rPh sb="16" eb="17">
      <t>モウ</t>
    </rPh>
    <rPh sb="18" eb="19">
      <t>ア</t>
    </rPh>
    <phoneticPr fontId="1"/>
  </si>
  <si>
    <t>楽天銀行 第二営業支店　普 7357597　カ）エンプランニング</t>
    <rPh sb="0" eb="2">
      <t>ラクテン</t>
    </rPh>
    <rPh sb="2" eb="4">
      <t>ギンコウ</t>
    </rPh>
    <rPh sb="5" eb="7">
      <t>ダイニ</t>
    </rPh>
    <rPh sb="7" eb="9">
      <t>エイギョウ</t>
    </rPh>
    <rPh sb="9" eb="11">
      <t>シテン</t>
    </rPh>
    <rPh sb="12" eb="13">
      <t>フ</t>
    </rPh>
    <phoneticPr fontId="1"/>
  </si>
  <si>
    <r>
      <t>※入金期日着金をお願いしております。</t>
    </r>
    <r>
      <rPr>
        <sz val="8"/>
        <color rgb="FFFF0000"/>
        <rFont val="HG丸ｺﾞｼｯｸM-PRO"/>
        <family val="3"/>
        <charset val="128"/>
      </rPr>
      <t>当日15時まで</t>
    </r>
    <r>
      <rPr>
        <sz val="8"/>
        <color theme="9" tint="-0.249977111117893"/>
        <rFont val="HG丸ｺﾞｼｯｸM-PRO"/>
        <family val="3"/>
        <charset val="128"/>
      </rPr>
      <t>のご入金をお願い致します。</t>
    </r>
    <rPh sb="1" eb="3">
      <t>ニュウキン</t>
    </rPh>
    <rPh sb="3" eb="5">
      <t>キジツ</t>
    </rPh>
    <rPh sb="5" eb="7">
      <t>チャッキン</t>
    </rPh>
    <rPh sb="9" eb="10">
      <t>ネガ</t>
    </rPh>
    <rPh sb="18" eb="20">
      <t>トウジツ</t>
    </rPh>
    <rPh sb="22" eb="23">
      <t>ジ</t>
    </rPh>
    <rPh sb="27" eb="29">
      <t>ニュウキン</t>
    </rPh>
    <rPh sb="31" eb="32">
      <t>ネガ</t>
    </rPh>
    <rPh sb="33" eb="34">
      <t>イタ</t>
    </rPh>
    <phoneticPr fontId="1"/>
  </si>
  <si>
    <t>ＡＦＩ ＪＯＢ契約申込書</t>
    <rPh sb="7" eb="9">
      <t>ケイヤク</t>
    </rPh>
    <rPh sb="9" eb="12">
      <t>モウシコミショ</t>
    </rPh>
    <phoneticPr fontId="1"/>
  </si>
  <si>
    <t>株式会社縁Planning 行</t>
    <rPh sb="0" eb="4">
      <t>カブシキガイシャ</t>
    </rPh>
    <rPh sb="4" eb="5">
      <t>エン</t>
    </rPh>
    <rPh sb="14" eb="15">
      <t>イキ</t>
    </rPh>
    <phoneticPr fontId="1"/>
  </si>
  <si>
    <t>申込日</t>
    <rPh sb="0" eb="2">
      <t>モウシコミ</t>
    </rPh>
    <rPh sb="2" eb="3">
      <t>ビ</t>
    </rPh>
    <phoneticPr fontId="1"/>
  </si>
  <si>
    <t>年</t>
    <rPh sb="0" eb="1">
      <t>ネン</t>
    </rPh>
    <phoneticPr fontId="1"/>
  </si>
  <si>
    <t>月</t>
    <rPh sb="0" eb="1">
      <t>ツキ</t>
    </rPh>
    <phoneticPr fontId="1"/>
  </si>
  <si>
    <t>日</t>
    <rPh sb="0" eb="1">
      <t>ニチ</t>
    </rPh>
    <phoneticPr fontId="1"/>
  </si>
  <si>
    <t>契約者情報</t>
    <rPh sb="0" eb="3">
      <t>ケイヤクシャ</t>
    </rPh>
    <rPh sb="3" eb="5">
      <t>ジョウホウ</t>
    </rPh>
    <phoneticPr fontId="1"/>
  </si>
  <si>
    <t>フリガナ</t>
    <phoneticPr fontId="1"/>
  </si>
  <si>
    <t>印</t>
    <rPh sb="0" eb="1">
      <t>イン</t>
    </rPh>
    <phoneticPr fontId="1"/>
  </si>
  <si>
    <t>会社名</t>
    <rPh sb="0" eb="2">
      <t>カイシャ</t>
    </rPh>
    <rPh sb="2" eb="3">
      <t>メイ</t>
    </rPh>
    <phoneticPr fontId="1"/>
  </si>
  <si>
    <t>フリガナ</t>
    <phoneticPr fontId="1"/>
  </si>
  <si>
    <t>屋号</t>
    <rPh sb="0" eb="2">
      <t>ヤゴウ</t>
    </rPh>
    <phoneticPr fontId="1"/>
  </si>
  <si>
    <t>住所</t>
    <rPh sb="0" eb="2">
      <t>ジュウショ</t>
    </rPh>
    <phoneticPr fontId="1"/>
  </si>
  <si>
    <t>〒</t>
    <phoneticPr fontId="1"/>
  </si>
  <si>
    <t>代表者名</t>
    <rPh sb="0" eb="3">
      <t>ダイヒョウシャ</t>
    </rPh>
    <rPh sb="3" eb="4">
      <t>メイ</t>
    </rPh>
    <phoneticPr fontId="1"/>
  </si>
  <si>
    <t>担当者名</t>
    <rPh sb="0" eb="3">
      <t>タントウシャ</t>
    </rPh>
    <rPh sb="3" eb="4">
      <t>メイ</t>
    </rPh>
    <phoneticPr fontId="1"/>
  </si>
  <si>
    <t>－　　　　　　　　　　　　－</t>
    <phoneticPr fontId="1"/>
  </si>
  <si>
    <t>－　　　　　　　　　　　　－</t>
    <phoneticPr fontId="1"/>
  </si>
  <si>
    <t>E-Mail</t>
    <phoneticPr fontId="1"/>
  </si>
  <si>
    <t>@</t>
    <phoneticPr fontId="1"/>
  </si>
  <si>
    <t>URL</t>
    <phoneticPr fontId="1"/>
  </si>
  <si>
    <t>契約内容</t>
    <rPh sb="0" eb="2">
      <t>ケイヤク</t>
    </rPh>
    <rPh sb="2" eb="4">
      <t>ナイヨウ</t>
    </rPh>
    <phoneticPr fontId="1"/>
  </si>
  <si>
    <t>契約プラン</t>
    <rPh sb="0" eb="2">
      <t>ケイヤク</t>
    </rPh>
    <phoneticPr fontId="1"/>
  </si>
  <si>
    <t>面接課金プラン</t>
    <rPh sb="0" eb="2">
      <t>メンセツ</t>
    </rPh>
    <rPh sb="2" eb="4">
      <t>カキン</t>
    </rPh>
    <phoneticPr fontId="1"/>
  </si>
  <si>
    <t>契約期間</t>
    <rPh sb="0" eb="2">
      <t>ケイヤク</t>
    </rPh>
    <rPh sb="2" eb="4">
      <t>キカン</t>
    </rPh>
    <phoneticPr fontId="1"/>
  </si>
  <si>
    <t>1年間</t>
    <rPh sb="1" eb="3">
      <t>ネンカン</t>
    </rPh>
    <phoneticPr fontId="1"/>
  </si>
  <si>
    <t>役務提供開始日</t>
    <rPh sb="0" eb="2">
      <t>エキム</t>
    </rPh>
    <rPh sb="2" eb="4">
      <t>テイキョウ</t>
    </rPh>
    <rPh sb="4" eb="6">
      <t>カイシ</t>
    </rPh>
    <rPh sb="6" eb="7">
      <t>ビ</t>
    </rPh>
    <phoneticPr fontId="1"/>
  </si>
  <si>
    <t>2016年　　　月　1日</t>
    <rPh sb="4" eb="5">
      <t>ネン</t>
    </rPh>
    <rPh sb="8" eb="9">
      <t>ガツ</t>
    </rPh>
    <rPh sb="11" eb="12">
      <t>ニチ</t>
    </rPh>
    <phoneticPr fontId="1"/>
  </si>
  <si>
    <t>入金日</t>
    <rPh sb="0" eb="2">
      <t>ニュウキン</t>
    </rPh>
    <rPh sb="2" eb="3">
      <t>ビ</t>
    </rPh>
    <phoneticPr fontId="1"/>
  </si>
  <si>
    <t>　　　年　　　月　　　日</t>
    <rPh sb="3" eb="4">
      <t>ネン</t>
    </rPh>
    <rPh sb="7" eb="8">
      <t>ガツ</t>
    </rPh>
    <rPh sb="11" eb="12">
      <t>ヒ</t>
    </rPh>
    <phoneticPr fontId="1"/>
  </si>
  <si>
    <t>振込先</t>
    <rPh sb="0" eb="2">
      <t>フリコミ</t>
    </rPh>
    <rPh sb="2" eb="3">
      <t>サキ</t>
    </rPh>
    <phoneticPr fontId="1"/>
  </si>
  <si>
    <t>楽天銀行 第二営業支店 普通 7357597 カ）エンプランニング</t>
    <phoneticPr fontId="1"/>
  </si>
  <si>
    <t>初期費用合計</t>
    <rPh sb="0" eb="2">
      <t>ショキ</t>
    </rPh>
    <rPh sb="2" eb="4">
      <t>ヒヨウ</t>
    </rPh>
    <rPh sb="4" eb="6">
      <t>ゴウケイ</t>
    </rPh>
    <phoneticPr fontId="1"/>
  </si>
  <si>
    <t>成果課金単価</t>
    <rPh sb="0" eb="2">
      <t>セイカ</t>
    </rPh>
    <rPh sb="2" eb="4">
      <t>カキン</t>
    </rPh>
    <rPh sb="4" eb="6">
      <t>タンカ</t>
    </rPh>
    <phoneticPr fontId="1"/>
  </si>
  <si>
    <t>更新月額費用</t>
    <rPh sb="0" eb="2">
      <t>コウシン</t>
    </rPh>
    <rPh sb="2" eb="4">
      <t>ゲツガク</t>
    </rPh>
    <rPh sb="4" eb="6">
      <t>ヒヨウ</t>
    </rPh>
    <phoneticPr fontId="1"/>
  </si>
  <si>
    <t>内訳</t>
    <rPh sb="0" eb="2">
      <t>ウチワケ</t>
    </rPh>
    <phoneticPr fontId="1"/>
  </si>
  <si>
    <t>LP制作費用</t>
    <rPh sb="2" eb="4">
      <t>セイサク</t>
    </rPh>
    <rPh sb="4" eb="6">
      <t>ヒヨウ</t>
    </rPh>
    <phoneticPr fontId="1"/>
  </si>
  <si>
    <r>
      <t>□ 利用規約　</t>
    </r>
    <r>
      <rPr>
        <u/>
        <sz val="9"/>
        <color rgb="FF0070C0"/>
        <rFont val="Meiryo UI"/>
        <family val="3"/>
        <charset val="128"/>
      </rPr>
      <t>http://afi-job.jp/agreement/index.pdf　</t>
    </r>
    <r>
      <rPr>
        <sz val="9"/>
        <color theme="1"/>
        <rFont val="Meiryo UI"/>
        <family val="3"/>
        <charset val="128"/>
      </rPr>
      <t>を確認し、同意します。</t>
    </r>
    <rPh sb="2" eb="4">
      <t>リヨウ</t>
    </rPh>
    <rPh sb="4" eb="6">
      <t>キヤク</t>
    </rPh>
    <rPh sb="46" eb="48">
      <t>カクニン</t>
    </rPh>
    <rPh sb="50" eb="52">
      <t>ドウイ</t>
    </rPh>
    <phoneticPr fontId="1"/>
  </si>
  <si>
    <t>初回登録費用</t>
    <rPh sb="0" eb="2">
      <t>ショカイ</t>
    </rPh>
    <rPh sb="2" eb="4">
      <t>トウロク</t>
    </rPh>
    <rPh sb="4" eb="6">
      <t>ヒヨウ</t>
    </rPh>
    <phoneticPr fontId="1"/>
  </si>
  <si>
    <r>
      <t>□ 個人情報保護方針　</t>
    </r>
    <r>
      <rPr>
        <u/>
        <sz val="9"/>
        <color rgb="FF0070C0"/>
        <rFont val="Meiryo UI"/>
        <family val="3"/>
        <charset val="128"/>
      </rPr>
      <t>http://afi-job.jp/privacy/　</t>
    </r>
    <r>
      <rPr>
        <sz val="9"/>
        <color theme="1"/>
        <rFont val="Meiryo UI"/>
        <family val="3"/>
        <charset val="128"/>
      </rPr>
      <t>を確認し、同意します。</t>
    </r>
    <rPh sb="2" eb="4">
      <t>コジン</t>
    </rPh>
    <rPh sb="4" eb="6">
      <t>ジョウホウ</t>
    </rPh>
    <rPh sb="6" eb="8">
      <t>ホゴ</t>
    </rPh>
    <rPh sb="8" eb="10">
      <t>ホウシン</t>
    </rPh>
    <rPh sb="39" eb="41">
      <t>カクニン</t>
    </rPh>
    <rPh sb="43" eb="45">
      <t>ドウイ</t>
    </rPh>
    <phoneticPr fontId="1"/>
  </si>
  <si>
    <t>□ 求人広告であり、効果や成果を保証するものではないことを理解しています。</t>
    <rPh sb="2" eb="4">
      <t>キュウジン</t>
    </rPh>
    <rPh sb="4" eb="6">
      <t>コウコク</t>
    </rPh>
    <rPh sb="10" eb="12">
      <t>コウカ</t>
    </rPh>
    <rPh sb="13" eb="15">
      <t>セイカ</t>
    </rPh>
    <rPh sb="16" eb="18">
      <t>ホショウ</t>
    </rPh>
    <rPh sb="29" eb="31">
      <t>リカイ</t>
    </rPh>
    <phoneticPr fontId="1"/>
  </si>
  <si>
    <t>年間管理費用</t>
    <rPh sb="0" eb="2">
      <t>ネンカン</t>
    </rPh>
    <rPh sb="2" eb="4">
      <t>カンリ</t>
    </rPh>
    <rPh sb="4" eb="6">
      <t>ヒヨウ</t>
    </rPh>
    <phoneticPr fontId="1"/>
  </si>
  <si>
    <t>□ 成果報酬課金があり、面接回数に応じて課金が発生することを理解しています。</t>
    <rPh sb="2" eb="4">
      <t>セイカ</t>
    </rPh>
    <rPh sb="4" eb="6">
      <t>ホウシュウ</t>
    </rPh>
    <rPh sb="6" eb="8">
      <t>カキン</t>
    </rPh>
    <rPh sb="12" eb="14">
      <t>メンセツ</t>
    </rPh>
    <rPh sb="14" eb="16">
      <t>カイスウ</t>
    </rPh>
    <rPh sb="17" eb="18">
      <t>オウ</t>
    </rPh>
    <rPh sb="20" eb="22">
      <t>カキン</t>
    </rPh>
    <rPh sb="23" eb="25">
      <t>ハッセイ</t>
    </rPh>
    <rPh sb="30" eb="32">
      <t>リカイ</t>
    </rPh>
    <phoneticPr fontId="1"/>
  </si>
  <si>
    <t>□ 暴力団、総会屋など反社会的勢力に該当せず、かつ将来にわたっても該当することはありません。</t>
    <rPh sb="2" eb="5">
      <t>ボウリョクダン</t>
    </rPh>
    <rPh sb="6" eb="9">
      <t>ソウカイヤ</t>
    </rPh>
    <rPh sb="11" eb="14">
      <t>ハンシャカイ</t>
    </rPh>
    <rPh sb="14" eb="15">
      <t>テキ</t>
    </rPh>
    <rPh sb="15" eb="17">
      <t>セイリョク</t>
    </rPh>
    <rPh sb="18" eb="20">
      <t>ガイトウ</t>
    </rPh>
    <rPh sb="25" eb="27">
      <t>ショウライ</t>
    </rPh>
    <rPh sb="33" eb="35">
      <t>ガイトウ</t>
    </rPh>
    <phoneticPr fontId="1"/>
  </si>
  <si>
    <t>□ 上記内容、および契約内容を確認したうえで、同意し、申し込み契約を行います。</t>
    <rPh sb="2" eb="4">
      <t>ジョウキ</t>
    </rPh>
    <rPh sb="4" eb="6">
      <t>ナイヨウ</t>
    </rPh>
    <rPh sb="10" eb="12">
      <t>ケイヤク</t>
    </rPh>
    <rPh sb="12" eb="14">
      <t>ナイヨウ</t>
    </rPh>
    <rPh sb="15" eb="17">
      <t>カクニン</t>
    </rPh>
    <rPh sb="23" eb="25">
      <t>ドウイ</t>
    </rPh>
    <rPh sb="27" eb="28">
      <t>モウ</t>
    </rPh>
    <rPh sb="29" eb="30">
      <t>コ</t>
    </rPh>
    <rPh sb="31" eb="33">
      <t>ケイヤク</t>
    </rPh>
    <rPh sb="34" eb="35">
      <t>オコナ</t>
    </rPh>
    <phoneticPr fontId="1"/>
  </si>
  <si>
    <t>＜代理店情報＞</t>
    <rPh sb="1" eb="4">
      <t>ダイリテン</t>
    </rPh>
    <rPh sb="4" eb="6">
      <t>ジョウホウ</t>
    </rPh>
    <phoneticPr fontId="1"/>
  </si>
  <si>
    <t>捨印</t>
    <rPh sb="0" eb="2">
      <t>ステイン</t>
    </rPh>
    <phoneticPr fontId="1"/>
  </si>
  <si>
    <t>ＡＮＥ ＪＯＢ契約申込書</t>
    <rPh sb="7" eb="9">
      <t>ケイヤク</t>
    </rPh>
    <rPh sb="9" eb="12">
      <t>モウシコミショ</t>
    </rPh>
    <phoneticPr fontId="1"/>
  </si>
  <si>
    <t>　　　年　　　月　　　日</t>
    <phoneticPr fontId="1"/>
  </si>
  <si>
    <r>
      <t>□ 利用規約　</t>
    </r>
    <r>
      <rPr>
        <u/>
        <sz val="9"/>
        <color rgb="FF0070C0"/>
        <rFont val="Meiryo UI"/>
        <family val="3"/>
        <charset val="128"/>
      </rPr>
      <t>https://www.ane-job.jp/policy/agreement1008.pdf　</t>
    </r>
    <r>
      <rPr>
        <sz val="9"/>
        <color theme="1"/>
        <rFont val="Meiryo UI"/>
        <family val="3"/>
        <charset val="128"/>
      </rPr>
      <t>を確認し、同意します。</t>
    </r>
    <rPh sb="2" eb="4">
      <t>リヨウ</t>
    </rPh>
    <rPh sb="4" eb="6">
      <t>キヤク</t>
    </rPh>
    <rPh sb="56" eb="58">
      <t>カクニン</t>
    </rPh>
    <rPh sb="60" eb="62">
      <t>ドウイ</t>
    </rPh>
    <phoneticPr fontId="1"/>
  </si>
  <si>
    <r>
      <t>掲載費用</t>
    </r>
    <r>
      <rPr>
        <sz val="8"/>
        <color theme="1"/>
        <rFont val="Meiryo UI"/>
        <family val="3"/>
        <charset val="128"/>
      </rPr>
      <t>（税込）</t>
    </r>
    <rPh sb="0" eb="2">
      <t>ケイサイ</t>
    </rPh>
    <rPh sb="2" eb="4">
      <t>ヒヨウ</t>
    </rPh>
    <rPh sb="5" eb="7">
      <t>ゼイコ</t>
    </rPh>
    <phoneticPr fontId="1"/>
  </si>
  <si>
    <t>（税込）</t>
    <rPh sb="1" eb="3">
      <t>ゼイコミ</t>
    </rPh>
    <phoneticPr fontId="1"/>
  </si>
  <si>
    <t>特約事項</t>
    <rPh sb="0" eb="2">
      <t>トクヤク</t>
    </rPh>
    <rPh sb="2" eb="4">
      <t>ジコウ</t>
    </rPh>
    <phoneticPr fontId="1"/>
  </si>
  <si>
    <t>下記の通りご請求申し上げます。宜しくお願い致します。</t>
    <rPh sb="0" eb="2">
      <t>カキ</t>
    </rPh>
    <rPh sb="3" eb="4">
      <t>トオ</t>
    </rPh>
    <rPh sb="6" eb="8">
      <t>セイキュウ</t>
    </rPh>
    <rPh sb="8" eb="9">
      <t>モウ</t>
    </rPh>
    <rPh sb="10" eb="11">
      <t>ア</t>
    </rPh>
    <rPh sb="15" eb="16">
      <t>ヨロ</t>
    </rPh>
    <rPh sb="19" eb="20">
      <t>ネガ</t>
    </rPh>
    <rPh sb="21" eb="22">
      <t>イタ</t>
    </rPh>
    <phoneticPr fontId="1"/>
  </si>
  <si>
    <t>備考</t>
    <rPh sb="0" eb="2">
      <t>ビコウ</t>
    </rPh>
    <phoneticPr fontId="1"/>
  </si>
  <si>
    <t>直通電話番号</t>
    <rPh sb="0" eb="2">
      <t>チョクツウ</t>
    </rPh>
    <rPh sb="2" eb="4">
      <t>デンワ</t>
    </rPh>
    <rPh sb="4" eb="6">
      <t>バンゴウ</t>
    </rPh>
    <phoneticPr fontId="1"/>
  </si>
  <si>
    <t>□ 応募者の特性、経歴などを理解し、コンプライアンスを遵守しハラスメント行為のないように採用活動および採用時の対応を行います。</t>
    <rPh sb="2" eb="5">
      <t>オウボシャ</t>
    </rPh>
    <rPh sb="6" eb="8">
      <t>トクセイ</t>
    </rPh>
    <rPh sb="9" eb="11">
      <t>ケイレキ</t>
    </rPh>
    <rPh sb="14" eb="16">
      <t>リカイ</t>
    </rPh>
    <rPh sb="27" eb="29">
      <t>ジュンシュ</t>
    </rPh>
    <rPh sb="36" eb="38">
      <t>コウイ</t>
    </rPh>
    <rPh sb="44" eb="46">
      <t>サイヨウ</t>
    </rPh>
    <rPh sb="46" eb="48">
      <t>カツドウ</t>
    </rPh>
    <rPh sb="51" eb="53">
      <t>サイヨウ</t>
    </rPh>
    <rPh sb="53" eb="54">
      <t>ジ</t>
    </rPh>
    <rPh sb="55" eb="57">
      <t>タイオウ</t>
    </rPh>
    <rPh sb="58" eb="59">
      <t>オコナ</t>
    </rPh>
    <phoneticPr fontId="1"/>
  </si>
  <si>
    <t>10,800円</t>
    <rPh sb="6" eb="7">
      <t>エン</t>
    </rPh>
    <phoneticPr fontId="1"/>
  </si>
  <si>
    <t>54,000円</t>
    <rPh sb="6" eb="7">
      <t>エン</t>
    </rPh>
    <phoneticPr fontId="1"/>
  </si>
  <si>
    <t>216,000円</t>
    <rPh sb="7" eb="8">
      <t>エン</t>
    </rPh>
    <phoneticPr fontId="1"/>
  </si>
  <si>
    <t>108,000円</t>
    <rPh sb="7" eb="8">
      <t>エン</t>
    </rPh>
    <phoneticPr fontId="1"/>
  </si>
  <si>
    <t>648,000円</t>
    <rPh sb="7" eb="8">
      <t>エン</t>
    </rPh>
    <phoneticPr fontId="1"/>
  </si>
  <si>
    <t>フリガナ</t>
    <phoneticPr fontId="1"/>
  </si>
  <si>
    <t>カブシキガイシャエンプランニング</t>
    <phoneticPr fontId="1"/>
  </si>
  <si>
    <t>フリガナ</t>
    <phoneticPr fontId="1"/>
  </si>
  <si>
    <t>エンプランニングホンポ</t>
    <phoneticPr fontId="1"/>
  </si>
  <si>
    <t>縁Planning本舗</t>
    <rPh sb="0" eb="1">
      <t>エン</t>
    </rPh>
    <rPh sb="9" eb="11">
      <t>ホンポ</t>
    </rPh>
    <phoneticPr fontId="1"/>
  </si>
  <si>
    <t>〒141-0031
東京都品川区西五反田7-13-5 DK五反田ビル3階</t>
    <rPh sb="10" eb="13">
      <t>トウキョウト</t>
    </rPh>
    <rPh sb="13" eb="16">
      <t>シナガワク</t>
    </rPh>
    <phoneticPr fontId="1"/>
  </si>
  <si>
    <t>エンプラ　タロウ</t>
    <phoneticPr fontId="1"/>
  </si>
  <si>
    <t>エンプラ　ハナコ</t>
    <phoneticPr fontId="1"/>
  </si>
  <si>
    <t>縁プラ　太郎</t>
    <rPh sb="0" eb="1">
      <t>エン</t>
    </rPh>
    <rPh sb="4" eb="6">
      <t>タロウ</t>
    </rPh>
    <phoneticPr fontId="1"/>
  </si>
  <si>
    <t>縁プラ　花子</t>
    <rPh sb="0" eb="1">
      <t>エン</t>
    </rPh>
    <rPh sb="4" eb="6">
      <t>ハナコ</t>
    </rPh>
    <phoneticPr fontId="1"/>
  </si>
  <si>
    <t>03 - 5437 - 2286</t>
    <phoneticPr fontId="1"/>
  </si>
  <si>
    <t>03 - 5437 - 2287</t>
    <phoneticPr fontId="1"/>
  </si>
  <si>
    <t>E-Mail</t>
    <phoneticPr fontId="1"/>
  </si>
  <si>
    <t>afi-job@enplanning.co.jp</t>
    <phoneticPr fontId="1"/>
  </si>
  <si>
    <t>URL</t>
    <phoneticPr fontId="1"/>
  </si>
  <si>
    <t>http://enplanning.co.jp</t>
    <phoneticPr fontId="1"/>
  </si>
  <si>
    <r>
      <rPr>
        <b/>
        <sz val="11"/>
        <color rgb="FFFF0000"/>
        <rFont val="Meiryo UI"/>
        <family val="3"/>
        <charset val="128"/>
      </rPr>
      <t>２０１６</t>
    </r>
    <r>
      <rPr>
        <sz val="11"/>
        <color theme="1"/>
        <rFont val="Meiryo UI"/>
        <family val="3"/>
        <charset val="128"/>
      </rPr>
      <t xml:space="preserve"> 年　</t>
    </r>
    <r>
      <rPr>
        <b/>
        <sz val="11"/>
        <color rgb="FFFF0000"/>
        <rFont val="Meiryo UI"/>
        <family val="3"/>
        <charset val="128"/>
      </rPr>
      <t>６</t>
    </r>
    <r>
      <rPr>
        <sz val="11"/>
        <color theme="1"/>
        <rFont val="Meiryo UI"/>
        <family val="3"/>
        <charset val="128"/>
      </rPr>
      <t xml:space="preserve"> 月　</t>
    </r>
    <r>
      <rPr>
        <b/>
        <sz val="11"/>
        <color rgb="FFFF0000"/>
        <rFont val="Meiryo UI"/>
        <family val="3"/>
        <charset val="128"/>
      </rPr>
      <t>３</t>
    </r>
    <r>
      <rPr>
        <sz val="11"/>
        <color theme="1"/>
        <rFont val="Meiryo UI"/>
        <family val="3"/>
        <charset val="128"/>
      </rPr>
      <t xml:space="preserve"> 日</t>
    </r>
    <rPh sb="5" eb="6">
      <t>ネン</t>
    </rPh>
    <rPh sb="9" eb="10">
      <t>ガツ</t>
    </rPh>
    <rPh sb="13" eb="14">
      <t>ニチ</t>
    </rPh>
    <phoneticPr fontId="1"/>
  </si>
  <si>
    <t>楽天銀行 第二営業支店 普通 7357597 カ）エンプランニング</t>
    <phoneticPr fontId="1"/>
  </si>
  <si>
    <r>
      <rPr>
        <b/>
        <sz val="11"/>
        <color rgb="FFFF0000"/>
        <rFont val="Meiryo UI"/>
        <family val="3"/>
        <charset val="128"/>
      </rPr>
      <t>648,000</t>
    </r>
    <r>
      <rPr>
        <sz val="11"/>
        <color theme="1"/>
        <rFont val="Meiryo UI"/>
        <family val="3"/>
        <charset val="128"/>
      </rPr>
      <t>円</t>
    </r>
    <rPh sb="7" eb="8">
      <t>エン</t>
    </rPh>
    <phoneticPr fontId="1"/>
  </si>
  <si>
    <r>
      <rPr>
        <b/>
        <sz val="9"/>
        <color rgb="FFFF0000"/>
        <rFont val="Meiryo UI"/>
        <family val="3"/>
        <charset val="128"/>
      </rPr>
      <t>☑</t>
    </r>
    <r>
      <rPr>
        <sz val="9"/>
        <color theme="1"/>
        <rFont val="Meiryo UI"/>
        <family val="3"/>
        <charset val="128"/>
      </rPr>
      <t xml:space="preserve"> 利用規約　http://afi-job.jp/agreement/index.pdf　を確認し、同意します。</t>
    </r>
    <rPh sb="2" eb="4">
      <t>リヨウ</t>
    </rPh>
    <rPh sb="4" eb="6">
      <t>キヤク</t>
    </rPh>
    <rPh sb="46" eb="48">
      <t>カクニン</t>
    </rPh>
    <rPh sb="50" eb="52">
      <t>ドウイ</t>
    </rPh>
    <phoneticPr fontId="1"/>
  </si>
  <si>
    <r>
      <rPr>
        <sz val="9"/>
        <color rgb="FFFF0000"/>
        <rFont val="Meiryo UI"/>
        <family val="3"/>
        <charset val="128"/>
      </rPr>
      <t>☑</t>
    </r>
    <r>
      <rPr>
        <sz val="9"/>
        <color theme="1"/>
        <rFont val="Meiryo UI"/>
        <family val="3"/>
        <charset val="128"/>
      </rPr>
      <t xml:space="preserve"> 個人情報保護方針　http://afi-job.jp/privacy/　を確認し、同意します。</t>
    </r>
    <rPh sb="2" eb="4">
      <t>コジン</t>
    </rPh>
    <rPh sb="4" eb="6">
      <t>ジョウホウ</t>
    </rPh>
    <rPh sb="6" eb="8">
      <t>ホゴ</t>
    </rPh>
    <rPh sb="8" eb="10">
      <t>ホウシン</t>
    </rPh>
    <rPh sb="39" eb="41">
      <t>カクニン</t>
    </rPh>
    <rPh sb="43" eb="45">
      <t>ドウイ</t>
    </rPh>
    <phoneticPr fontId="1"/>
  </si>
  <si>
    <r>
      <rPr>
        <sz val="9"/>
        <color rgb="FFFF0000"/>
        <rFont val="Meiryo UI"/>
        <family val="3"/>
        <charset val="128"/>
      </rPr>
      <t>☑</t>
    </r>
    <r>
      <rPr>
        <sz val="9"/>
        <color theme="1"/>
        <rFont val="Meiryo UI"/>
        <family val="3"/>
        <charset val="128"/>
      </rPr>
      <t xml:space="preserve"> 暴力団、総会屋など反社会的勢力に該当せず、かつ将来にわたっても該当することはありません。</t>
    </r>
    <rPh sb="2" eb="5">
      <t>ボウリョクダン</t>
    </rPh>
    <rPh sb="6" eb="9">
      <t>ソウカイヤ</t>
    </rPh>
    <rPh sb="11" eb="14">
      <t>ハンシャカイ</t>
    </rPh>
    <rPh sb="14" eb="15">
      <t>テキ</t>
    </rPh>
    <rPh sb="15" eb="17">
      <t>セイリョク</t>
    </rPh>
    <rPh sb="18" eb="20">
      <t>ガイトウ</t>
    </rPh>
    <rPh sb="25" eb="27">
      <t>ショウライ</t>
    </rPh>
    <rPh sb="33" eb="35">
      <t>ガイトウ</t>
    </rPh>
    <phoneticPr fontId="1"/>
  </si>
  <si>
    <t>特別割引</t>
    <rPh sb="0" eb="2">
      <t>トクベツ</t>
    </rPh>
    <rPh sb="2" eb="4">
      <t>ワリビキ</t>
    </rPh>
    <phoneticPr fontId="1"/>
  </si>
  <si>
    <t>-324,000円</t>
    <rPh sb="8" eb="9">
      <t>エン</t>
    </rPh>
    <phoneticPr fontId="1"/>
  </si>
  <si>
    <r>
      <rPr>
        <sz val="9"/>
        <color rgb="FFFF0000"/>
        <rFont val="Meiryo UI"/>
        <family val="3"/>
        <charset val="128"/>
      </rPr>
      <t>☑</t>
    </r>
    <r>
      <rPr>
        <sz val="9"/>
        <color theme="1"/>
        <rFont val="Meiryo UI"/>
        <family val="3"/>
        <charset val="128"/>
      </rPr>
      <t xml:space="preserve"> 上記内容、および契約内容を確認したうえで、同意し、申し込み契約を行います。</t>
    </r>
    <rPh sb="2" eb="4">
      <t>ジョウキ</t>
    </rPh>
    <rPh sb="4" eb="6">
      <t>ナイヨウ</t>
    </rPh>
    <rPh sb="10" eb="12">
      <t>ケイヤク</t>
    </rPh>
    <rPh sb="12" eb="14">
      <t>ナイヨウ</t>
    </rPh>
    <rPh sb="15" eb="17">
      <t>カクニン</t>
    </rPh>
    <rPh sb="23" eb="25">
      <t>ドウイ</t>
    </rPh>
    <rPh sb="27" eb="28">
      <t>モウ</t>
    </rPh>
    <rPh sb="29" eb="30">
      <t>コ</t>
    </rPh>
    <rPh sb="31" eb="33">
      <t>ケイヤク</t>
    </rPh>
    <rPh sb="34" eb="35">
      <t>オコナ</t>
    </rPh>
    <phoneticPr fontId="1"/>
  </si>
  <si>
    <r>
      <t xml:space="preserve">＜代理店情報＞
</t>
    </r>
    <r>
      <rPr>
        <b/>
        <sz val="9"/>
        <color rgb="FFFF0000"/>
        <rFont val="Meiryo UI"/>
        <family val="3"/>
        <charset val="128"/>
      </rPr>
      <t>株式会社アフィジョブ
担当：アフィジョブ　太郎</t>
    </r>
    <rPh sb="1" eb="4">
      <t>ダイリテン</t>
    </rPh>
    <rPh sb="4" eb="6">
      <t>ジョウホウ</t>
    </rPh>
    <rPh sb="8" eb="12">
      <t>カブシキガイシャ</t>
    </rPh>
    <rPh sb="19" eb="21">
      <t>タントウ</t>
    </rPh>
    <rPh sb="29" eb="31">
      <t>タロウ</t>
    </rPh>
    <phoneticPr fontId="1"/>
  </si>
  <si>
    <t>＜提供会社情報＞
　　株式会社縁Planning　　　03-5437-2286
　　東京都品川区西五反田7-13-5 DK五反田ビル3階
　　代表　　山下　正雄</t>
    <rPh sb="1" eb="3">
      <t>テイキョウ</t>
    </rPh>
    <rPh sb="3" eb="5">
      <t>ガイシャ</t>
    </rPh>
    <rPh sb="5" eb="7">
      <t>ジョウホウ</t>
    </rPh>
    <rPh sb="11" eb="15">
      <t>カブシキガイシャ</t>
    </rPh>
    <rPh sb="15" eb="16">
      <t>エン</t>
    </rPh>
    <rPh sb="42" eb="45">
      <t>トウキョウト</t>
    </rPh>
    <rPh sb="45" eb="48">
      <t>シナガワク</t>
    </rPh>
    <rPh sb="48" eb="52">
      <t>ニシゴタンダ</t>
    </rPh>
    <rPh sb="61" eb="64">
      <t>ゴタンダ</t>
    </rPh>
    <rPh sb="67" eb="68">
      <t>カイ</t>
    </rPh>
    <rPh sb="71" eb="73">
      <t>ダイヒョウ</t>
    </rPh>
    <rPh sb="75" eb="77">
      <t>ヤマシタ</t>
    </rPh>
    <rPh sb="78" eb="80">
      <t>マサオ</t>
    </rPh>
    <phoneticPr fontId="1"/>
  </si>
  <si>
    <r>
      <rPr>
        <sz val="9"/>
        <color rgb="FFFF0000"/>
        <rFont val="Meiryo UI"/>
        <family val="3"/>
        <charset val="128"/>
      </rPr>
      <t xml:space="preserve">☑ </t>
    </r>
    <r>
      <rPr>
        <sz val="9"/>
        <color theme="1"/>
        <rFont val="Meiryo UI"/>
        <family val="3"/>
        <charset val="128"/>
      </rPr>
      <t>求人広告であり、効果や成果を保証するものではないことを理解しています。</t>
    </r>
    <rPh sb="2" eb="4">
      <t>キュウジン</t>
    </rPh>
    <rPh sb="4" eb="6">
      <t>コウコク</t>
    </rPh>
    <rPh sb="10" eb="12">
      <t>コウカ</t>
    </rPh>
    <rPh sb="13" eb="15">
      <t>セイカ</t>
    </rPh>
    <rPh sb="16" eb="18">
      <t>ホショウ</t>
    </rPh>
    <rPh sb="29" eb="31">
      <t>リカイ</t>
    </rPh>
    <phoneticPr fontId="1"/>
  </si>
  <si>
    <r>
      <rPr>
        <sz val="9"/>
        <color rgb="FFFF0000"/>
        <rFont val="Meiryo UI"/>
        <family val="3"/>
        <charset val="128"/>
      </rPr>
      <t>☑</t>
    </r>
    <r>
      <rPr>
        <sz val="9"/>
        <color theme="1"/>
        <rFont val="Meiryo UI"/>
        <family val="3"/>
        <charset val="128"/>
      </rPr>
      <t xml:space="preserve"> 成果報酬課金があり、面接回数に応じて課金が発生することを理解しています。</t>
    </r>
    <rPh sb="2" eb="4">
      <t>セイカ</t>
    </rPh>
    <rPh sb="4" eb="6">
      <t>ホウシュウ</t>
    </rPh>
    <rPh sb="6" eb="8">
      <t>カキン</t>
    </rPh>
    <rPh sb="12" eb="14">
      <t>メンセツ</t>
    </rPh>
    <rPh sb="14" eb="16">
      <t>カイスウ</t>
    </rPh>
    <rPh sb="17" eb="18">
      <t>オウ</t>
    </rPh>
    <rPh sb="20" eb="22">
      <t>カキン</t>
    </rPh>
    <rPh sb="23" eb="25">
      <t>ハッセイ</t>
    </rPh>
    <rPh sb="30" eb="32">
      <t>リカイ</t>
    </rPh>
    <phoneticPr fontId="1"/>
  </si>
  <si>
    <r>
      <t>2016年　　</t>
    </r>
    <r>
      <rPr>
        <b/>
        <sz val="11"/>
        <color rgb="FFFF0000"/>
        <rFont val="Meiryo UI"/>
        <family val="3"/>
        <charset val="128"/>
      </rPr>
      <t>8</t>
    </r>
    <r>
      <rPr>
        <sz val="11"/>
        <color theme="1"/>
        <rFont val="Meiryo UI"/>
        <family val="3"/>
        <charset val="128"/>
      </rPr>
      <t xml:space="preserve"> 月　1日</t>
    </r>
    <rPh sb="4" eb="5">
      <t>ネン</t>
    </rPh>
    <rPh sb="9" eb="10">
      <t>ガツ</t>
    </rPh>
    <rPh sb="12" eb="13">
      <t>ニチ</t>
    </rPh>
    <phoneticPr fontId="1"/>
  </si>
  <si>
    <t>フリガナ</t>
    <phoneticPr fontId="1"/>
  </si>
  <si>
    <t>プラン50</t>
    <phoneticPr fontId="1"/>
  </si>
  <si>
    <r>
      <rPr>
        <b/>
        <sz val="11"/>
        <color rgb="FFFF0000"/>
        <rFont val="Meiryo UI"/>
        <family val="3"/>
        <charset val="128"/>
      </rPr>
      <t>２０１６</t>
    </r>
    <r>
      <rPr>
        <sz val="11"/>
        <color theme="1"/>
        <rFont val="Meiryo UI"/>
        <family val="3"/>
        <charset val="128"/>
      </rPr>
      <t xml:space="preserve"> 年　</t>
    </r>
    <r>
      <rPr>
        <b/>
        <sz val="11"/>
        <color rgb="FFFF0000"/>
        <rFont val="Meiryo UI"/>
        <family val="3"/>
        <charset val="128"/>
      </rPr>
      <t>２</t>
    </r>
    <r>
      <rPr>
        <sz val="11"/>
        <color theme="1"/>
        <rFont val="Meiryo UI"/>
        <family val="3"/>
        <charset val="128"/>
      </rPr>
      <t xml:space="preserve"> 月　</t>
    </r>
    <r>
      <rPr>
        <b/>
        <sz val="11"/>
        <color rgb="FFFF0000"/>
        <rFont val="Meiryo UI"/>
        <family val="3"/>
        <charset val="128"/>
      </rPr>
      <t>８</t>
    </r>
    <r>
      <rPr>
        <sz val="11"/>
        <color theme="1"/>
        <rFont val="Meiryo UI"/>
        <family val="3"/>
        <charset val="128"/>
      </rPr>
      <t xml:space="preserve"> 日</t>
    </r>
    <rPh sb="5" eb="6">
      <t>ネン</t>
    </rPh>
    <rPh sb="9" eb="10">
      <t>ガツ</t>
    </rPh>
    <rPh sb="13" eb="14">
      <t>ニチ</t>
    </rPh>
    <phoneticPr fontId="1"/>
  </si>
  <si>
    <r>
      <rPr>
        <b/>
        <sz val="11"/>
        <color rgb="FFFF0000"/>
        <rFont val="Meiryo UI"/>
        <family val="3"/>
        <charset val="128"/>
      </rPr>
      <t>２０１６</t>
    </r>
    <r>
      <rPr>
        <sz val="11"/>
        <color theme="1"/>
        <rFont val="Meiryo UI"/>
        <family val="3"/>
        <charset val="128"/>
      </rPr>
      <t xml:space="preserve"> 年　</t>
    </r>
    <r>
      <rPr>
        <b/>
        <sz val="11"/>
        <color rgb="FFFF0000"/>
        <rFont val="Meiryo UI"/>
        <family val="3"/>
        <charset val="128"/>
      </rPr>
      <t>２</t>
    </r>
    <r>
      <rPr>
        <sz val="11"/>
        <color theme="1"/>
        <rFont val="Meiryo UI"/>
        <family val="3"/>
        <charset val="128"/>
      </rPr>
      <t xml:space="preserve"> 月　</t>
    </r>
    <r>
      <rPr>
        <b/>
        <sz val="11"/>
        <color rgb="FFFF0000"/>
        <rFont val="Meiryo UI"/>
        <family val="3"/>
        <charset val="128"/>
      </rPr>
      <t xml:space="preserve">６ </t>
    </r>
    <r>
      <rPr>
        <sz val="11"/>
        <color theme="1"/>
        <rFont val="Meiryo UI"/>
        <family val="3"/>
        <charset val="128"/>
      </rPr>
      <t>日</t>
    </r>
    <rPh sb="5" eb="6">
      <t>ネン</t>
    </rPh>
    <rPh sb="9" eb="10">
      <t>ガツ</t>
    </rPh>
    <rPh sb="13" eb="14">
      <t>ニチ</t>
    </rPh>
    <phoneticPr fontId="1"/>
  </si>
  <si>
    <r>
      <rPr>
        <b/>
        <sz val="11"/>
        <color rgb="FFFF0000"/>
        <rFont val="Meiryo UI"/>
        <family val="3"/>
        <charset val="128"/>
      </rPr>
      <t>５４０，０００</t>
    </r>
    <r>
      <rPr>
        <sz val="11"/>
        <color theme="1"/>
        <rFont val="Meiryo UI"/>
        <family val="3"/>
        <charset val="128"/>
      </rPr>
      <t>円</t>
    </r>
    <rPh sb="7" eb="8">
      <t>エン</t>
    </rPh>
    <phoneticPr fontId="1"/>
  </si>
  <si>
    <r>
      <rPr>
        <sz val="9"/>
        <color rgb="FFFF0000"/>
        <rFont val="Meiryo UI"/>
        <family val="3"/>
        <charset val="128"/>
      </rPr>
      <t>☑</t>
    </r>
    <r>
      <rPr>
        <sz val="9"/>
        <color theme="1"/>
        <rFont val="Meiryo UI"/>
        <family val="3"/>
        <charset val="128"/>
      </rPr>
      <t xml:space="preserve"> 利用規約　</t>
    </r>
    <r>
      <rPr>
        <u/>
        <sz val="9"/>
        <color rgb="FF0070C0"/>
        <rFont val="Meiryo UI"/>
        <family val="3"/>
        <charset val="128"/>
      </rPr>
      <t>https://www.ane-job.jp/policy/agreement1008.pdf　</t>
    </r>
    <r>
      <rPr>
        <sz val="9"/>
        <color theme="1"/>
        <rFont val="Meiryo UI"/>
        <family val="3"/>
        <charset val="128"/>
      </rPr>
      <t>を確認し、同意します。</t>
    </r>
    <rPh sb="2" eb="4">
      <t>リヨウ</t>
    </rPh>
    <rPh sb="4" eb="6">
      <t>キヤク</t>
    </rPh>
    <rPh sb="56" eb="58">
      <t>カクニン</t>
    </rPh>
    <rPh sb="60" eb="62">
      <t>ドウイ</t>
    </rPh>
    <phoneticPr fontId="1"/>
  </si>
  <si>
    <r>
      <rPr>
        <sz val="9"/>
        <color rgb="FFFF0000"/>
        <rFont val="Meiryo UI"/>
        <family val="3"/>
        <charset val="128"/>
      </rPr>
      <t>☑</t>
    </r>
    <r>
      <rPr>
        <sz val="9"/>
        <color theme="1"/>
        <rFont val="Meiryo UI"/>
        <family val="3"/>
        <charset val="128"/>
      </rPr>
      <t xml:space="preserve"> 個人情報保護方針　</t>
    </r>
    <r>
      <rPr>
        <u/>
        <sz val="9"/>
        <color rgb="FF0070C0"/>
        <rFont val="Meiryo UI"/>
        <family val="3"/>
        <charset val="128"/>
      </rPr>
      <t>https://www.ane-job.jp/policy/privacy1008.pdf　</t>
    </r>
    <r>
      <rPr>
        <sz val="9"/>
        <color theme="1"/>
        <rFont val="Meiryo UI"/>
        <family val="3"/>
        <charset val="128"/>
      </rPr>
      <t>を確認し、同意します。</t>
    </r>
    <rPh sb="2" eb="4">
      <t>コジン</t>
    </rPh>
    <rPh sb="4" eb="6">
      <t>ジョウホウ</t>
    </rPh>
    <rPh sb="6" eb="8">
      <t>ホゴ</t>
    </rPh>
    <rPh sb="8" eb="10">
      <t>ホウシン</t>
    </rPh>
    <rPh sb="58" eb="60">
      <t>カクニン</t>
    </rPh>
    <rPh sb="62" eb="64">
      <t>ドウイ</t>
    </rPh>
    <phoneticPr fontId="1"/>
  </si>
  <si>
    <r>
      <rPr>
        <sz val="9"/>
        <color rgb="FFFF0000"/>
        <rFont val="Meiryo UI"/>
        <family val="3"/>
        <charset val="128"/>
      </rPr>
      <t>☑</t>
    </r>
    <r>
      <rPr>
        <sz val="9"/>
        <color theme="1"/>
        <rFont val="Meiryo UI"/>
        <family val="3"/>
        <charset val="128"/>
      </rPr>
      <t xml:space="preserve"> 応募者の特性、経歴などを理解し、コンプライアンスを遵守しハラスメント行為のないように採用活動および採用時の対応を行います。</t>
    </r>
    <rPh sb="2" eb="5">
      <t>オウボシャ</t>
    </rPh>
    <rPh sb="6" eb="8">
      <t>トクセイ</t>
    </rPh>
    <rPh sb="9" eb="11">
      <t>ケイレキ</t>
    </rPh>
    <rPh sb="14" eb="16">
      <t>リカイ</t>
    </rPh>
    <rPh sb="27" eb="29">
      <t>ジュンシュ</t>
    </rPh>
    <rPh sb="36" eb="38">
      <t>コウイ</t>
    </rPh>
    <rPh sb="44" eb="46">
      <t>サイヨウ</t>
    </rPh>
    <rPh sb="46" eb="48">
      <t>カツドウ</t>
    </rPh>
    <rPh sb="51" eb="53">
      <t>サイヨウ</t>
    </rPh>
    <rPh sb="53" eb="54">
      <t>ジ</t>
    </rPh>
    <rPh sb="55" eb="57">
      <t>タイオウ</t>
    </rPh>
    <rPh sb="58" eb="59">
      <t>オコナ</t>
    </rPh>
    <phoneticPr fontId="1"/>
  </si>
  <si>
    <r>
      <rPr>
        <sz val="9"/>
        <color rgb="FFFF0000"/>
        <rFont val="Meiryo UI"/>
        <family val="3"/>
        <charset val="128"/>
      </rPr>
      <t>☑</t>
    </r>
    <r>
      <rPr>
        <sz val="9"/>
        <color theme="1"/>
        <rFont val="Meiryo UI"/>
        <family val="3"/>
        <charset val="128"/>
      </rPr>
      <t xml:space="preserve"> 求人広告であり、効果や成果を保証するものではないことを理解しています。</t>
    </r>
    <rPh sb="2" eb="4">
      <t>キュウジン</t>
    </rPh>
    <rPh sb="4" eb="6">
      <t>コウコク</t>
    </rPh>
    <rPh sb="10" eb="12">
      <t>コウカ</t>
    </rPh>
    <rPh sb="13" eb="15">
      <t>セイカ</t>
    </rPh>
    <rPh sb="16" eb="18">
      <t>ホショウ</t>
    </rPh>
    <rPh sb="29" eb="31">
      <t>リカイ</t>
    </rPh>
    <phoneticPr fontId="1"/>
  </si>
  <si>
    <t>□ キャバクラ、ガールズバーなどの接客業、アダルト関連業（販売職を含む）、性風俗産業などへの採用は入社後を含め一切行いません。</t>
    <rPh sb="27" eb="28">
      <t>ギョウ</t>
    </rPh>
    <rPh sb="31" eb="32">
      <t>ショク</t>
    </rPh>
    <phoneticPr fontId="1"/>
  </si>
  <si>
    <r>
      <rPr>
        <sz val="9"/>
        <color rgb="FFFF0000"/>
        <rFont val="Meiryo UI"/>
        <family val="3"/>
        <charset val="128"/>
      </rPr>
      <t>☑</t>
    </r>
    <r>
      <rPr>
        <sz val="9"/>
        <color theme="1"/>
        <rFont val="Meiryo UI"/>
        <family val="3"/>
        <charset val="128"/>
      </rPr>
      <t xml:space="preserve"> キャバクラ、ガールズバーなどの接客業、アダルト関連業（販売職を含む）、性風俗産業などへの採用は入社後を含め一切行いません。</t>
    </r>
    <phoneticPr fontId="1"/>
  </si>
  <si>
    <r>
      <rPr>
        <sz val="8"/>
        <color theme="1"/>
        <rFont val="Meiryo UI"/>
        <family val="3"/>
        <charset val="128"/>
      </rPr>
      <t xml:space="preserve">＜代理店情報＞
</t>
    </r>
    <r>
      <rPr>
        <sz val="8"/>
        <color rgb="FFFF0000"/>
        <rFont val="Meiryo UI"/>
        <family val="3"/>
        <charset val="128"/>
      </rPr>
      <t>株式会社アフィジョブ
担当：アフィジョブ　太郎</t>
    </r>
    <r>
      <rPr>
        <sz val="8"/>
        <color theme="1"/>
        <rFont val="Meiryo UI"/>
        <family val="3"/>
        <charset val="128"/>
      </rPr>
      <t xml:space="preserve">
</t>
    </r>
    <phoneticPr fontId="1"/>
  </si>
  <si>
    <t>〒150-0011</t>
    <phoneticPr fontId="1"/>
  </si>
  <si>
    <t>東京都渋谷区東2丁目16番4号</t>
    <rPh sb="0" eb="3">
      <t>トウキョウト</t>
    </rPh>
    <rPh sb="3" eb="6">
      <t>シブヤク</t>
    </rPh>
    <rPh sb="6" eb="7">
      <t>ヒガシ</t>
    </rPh>
    <rPh sb="8" eb="10">
      <t>チョウメ</t>
    </rPh>
    <rPh sb="12" eb="13">
      <t>バン</t>
    </rPh>
    <rPh sb="14" eb="15">
      <t>ゴウ</t>
    </rPh>
    <phoneticPr fontId="1"/>
  </si>
  <si>
    <t>プロミエビル3階</t>
    <rPh sb="7" eb="8">
      <t>カイ</t>
    </rPh>
    <phoneticPr fontId="1"/>
  </si>
  <si>
    <t>0120-270-6748</t>
    <phoneticPr fontId="1"/>
  </si>
  <si>
    <t>03-6869-8908</t>
    <phoneticPr fontId="1"/>
  </si>
  <si>
    <r>
      <t>□ 個人情報保護方針　</t>
    </r>
    <r>
      <rPr>
        <u/>
        <sz val="9"/>
        <color rgb="FF0070C0"/>
        <rFont val="Meiryo UI"/>
        <family val="3"/>
        <charset val="128"/>
      </rPr>
      <t>https://www.ane-job.jp/policy/privacy.pdf　</t>
    </r>
    <r>
      <rPr>
        <sz val="9"/>
        <color theme="1"/>
        <rFont val="Meiryo UI"/>
        <family val="3"/>
        <charset val="128"/>
      </rPr>
      <t>を確認し、同意します。</t>
    </r>
    <rPh sb="2" eb="4">
      <t>コジン</t>
    </rPh>
    <rPh sb="4" eb="6">
      <t>ジョウホウ</t>
    </rPh>
    <rPh sb="6" eb="8">
      <t>ホゴ</t>
    </rPh>
    <rPh sb="8" eb="10">
      <t>ホウシン</t>
    </rPh>
    <rPh sb="54" eb="56">
      <t>カクニン</t>
    </rPh>
    <rPh sb="58" eb="60">
      <t>ドウイ</t>
    </rPh>
    <phoneticPr fontId="1"/>
  </si>
  <si>
    <r>
      <t>消費税</t>
    </r>
    <r>
      <rPr>
        <sz val="8"/>
        <color rgb="FF002060"/>
        <rFont val="HG丸ｺﾞｼｯｸM-PRO"/>
        <family val="3"/>
        <charset val="128"/>
      </rPr>
      <t>（10%）</t>
    </r>
    <rPh sb="0" eb="3">
      <t>ショウヒゼイ</t>
    </rPh>
    <phoneticPr fontId="1"/>
  </si>
  <si>
    <t>担当部署：経営管理部 経理グループ</t>
    <phoneticPr fontId="1"/>
  </si>
  <si>
    <t>株式会社 GakuNavi</t>
    <rPh sb="0" eb="4">
      <t>カブシキガイシャ</t>
    </rPh>
    <phoneticPr fontId="1"/>
  </si>
  <si>
    <t>〒541-0059</t>
    <phoneticPr fontId="1"/>
  </si>
  <si>
    <t>大バスビル心斎橋4F</t>
    <rPh sb="0" eb="1">
      <t>ダイバス</t>
    </rPh>
    <rPh sb="5" eb="8">
      <t>シンサイバセィ</t>
    </rPh>
    <phoneticPr fontId="1"/>
  </si>
  <si>
    <t>FAX：06-7732-3768</t>
    <phoneticPr fontId="1"/>
  </si>
  <si>
    <t>大阪府大阪市中央区博労町2丁目6-7</t>
    <rPh sb="0" eb="3">
      <t>オオサカ</t>
    </rPh>
    <rPh sb="3" eb="6">
      <t>オオサカ</t>
    </rPh>
    <rPh sb="6" eb="9">
      <t>チュウ</t>
    </rPh>
    <rPh sb="9" eb="12">
      <t>バクロウ</t>
    </rPh>
    <rPh sb="13" eb="15">
      <t>チョウメ</t>
    </rPh>
    <phoneticPr fontId="1"/>
  </si>
  <si>
    <t>支払明細書</t>
    <rPh sb="0" eb="5">
      <t>シハライ</t>
    </rPh>
    <phoneticPr fontId="1"/>
  </si>
  <si>
    <t>お支払い金額</t>
    <rPh sb="1" eb="3">
      <t>シハライ</t>
    </rPh>
    <rPh sb="4" eb="6">
      <t>キンガク</t>
    </rPh>
    <phoneticPr fontId="1"/>
  </si>
  <si>
    <t>お振込年月日</t>
    <rPh sb="3" eb="6">
      <t>ネンガッピ</t>
    </rPh>
    <phoneticPr fontId="1"/>
  </si>
  <si>
    <t>この度は弊社にお客様を紹介頂きありがとうございます。</t>
    <rPh sb="2" eb="3">
      <t>タビ</t>
    </rPh>
    <rPh sb="4" eb="6">
      <t>ヘイシャ</t>
    </rPh>
    <rPh sb="11" eb="13">
      <t>ショウカ</t>
    </rPh>
    <rPh sb="13" eb="14">
      <t>イタダ</t>
    </rPh>
    <phoneticPr fontId="1"/>
  </si>
  <si>
    <t>成果は下記の通りです。ご確認の程、よろしくお願い致します。</t>
    <rPh sb="0" eb="2">
      <t xml:space="preserve">セイカ </t>
    </rPh>
    <rPh sb="3" eb="5">
      <t>カキ</t>
    </rPh>
    <rPh sb="6" eb="7">
      <t>トオリ</t>
    </rPh>
    <rPh sb="12" eb="14">
      <t>カクニn</t>
    </rPh>
    <rPh sb="15" eb="16">
      <t>ホド</t>
    </rPh>
    <rPh sb="22" eb="23">
      <t>ネガ</t>
    </rPh>
    <rPh sb="24" eb="25">
      <t>イタ</t>
    </rPh>
    <phoneticPr fontId="1"/>
  </si>
  <si>
    <t xml:space="preserve">TEL：06-4400-2748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</si>
</sst>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請求書番号：&quot;0"/>
    <numFmt numFmtId="177" formatCode="yyyy&quot;年&quot;m&quot;月&quot;d&quot;日&quot;;@"/>
    <numFmt numFmtId="178" formatCode="#,###&quot; 円&quot;"/>
  </numFmts>
  <fonts count="50">
    <font>
      <sz val="11"/>
      <color theme="1"/>
      <name val="ＭＳ Ｐゴシック"/>
      <family val="2"/>
      <charset val="128"/>
      <scheme val="minor"/>
    </font>
    <font>
      <sz val="6"/>
      <name val="ＭＳ Ｐゴシック"/>
      <family val="2"/>
      <charset val="128"/>
      <scheme val="minor"/>
    </font>
    <font>
      <sz val="8"/>
      <color theme="1"/>
      <name val="HG丸ｺﾞｼｯｸM-PRO"/>
      <family val="3"/>
      <charset val="128"/>
    </font>
    <font>
      <sz val="11"/>
      <color theme="1"/>
      <name val="Aharoni"/>
    </font>
    <font>
      <sz val="48"/>
      <color rgb="FF00B0F0"/>
      <name val="Aharoni"/>
    </font>
    <font>
      <sz val="11"/>
      <color theme="1"/>
      <name val="ＭＳ ゴシック"/>
      <family val="3"/>
      <charset val="128"/>
    </font>
    <font>
      <sz val="11"/>
      <color theme="1"/>
      <name val="HG丸ｺﾞｼｯｸM-PRO"/>
      <family val="3"/>
      <charset val="128"/>
    </font>
    <font>
      <sz val="16"/>
      <color theme="1"/>
      <name val="HG丸ｺﾞｼｯｸM-PRO"/>
      <family val="3"/>
      <charset val="128"/>
    </font>
    <font>
      <sz val="9"/>
      <color theme="1"/>
      <name val="HG丸ｺﾞｼｯｸM-PRO"/>
      <family val="3"/>
      <charset val="128"/>
    </font>
    <font>
      <sz val="14"/>
      <color theme="1"/>
      <name val="HG丸ｺﾞｼｯｸM-PRO"/>
      <family val="3"/>
      <charset val="128"/>
    </font>
    <font>
      <sz val="10"/>
      <color theme="1"/>
      <name val="HG丸ｺﾞｼｯｸM-PRO"/>
      <family val="3"/>
      <charset val="128"/>
    </font>
    <font>
      <sz val="11"/>
      <color theme="0"/>
      <name val="HG丸ｺﾞｼｯｸM-PRO"/>
      <family val="3"/>
      <charset val="128"/>
    </font>
    <font>
      <sz val="14"/>
      <color theme="0"/>
      <name val="HG丸ｺﾞｼｯｸM-PRO"/>
      <family val="3"/>
      <charset val="128"/>
    </font>
    <font>
      <sz val="8"/>
      <color theme="0"/>
      <name val="HG丸ｺﾞｼｯｸM-PRO"/>
      <family val="3"/>
      <charset val="128"/>
    </font>
    <font>
      <sz val="8"/>
      <name val="HG丸ｺﾞｼｯｸM-PRO"/>
      <family val="3"/>
      <charset val="128"/>
    </font>
    <font>
      <sz val="8"/>
      <color theme="9" tint="-0.249977111117893"/>
      <name val="HG丸ｺﾞｼｯｸM-PRO"/>
      <family val="3"/>
      <charset val="128"/>
    </font>
    <font>
      <sz val="8"/>
      <color rgb="FFFF0000"/>
      <name val="HG丸ｺﾞｼｯｸM-PRO"/>
      <family val="3"/>
      <charset val="128"/>
    </font>
    <font>
      <sz val="18"/>
      <color theme="1"/>
      <name val="Lucida Calligraphy"/>
      <family val="4"/>
    </font>
    <font>
      <sz val="12"/>
      <color theme="1"/>
      <name val="Lucida Calligraphy"/>
      <family val="4"/>
    </font>
    <font>
      <sz val="11"/>
      <color theme="1"/>
      <name val="Meiryo UI"/>
      <family val="3"/>
      <charset val="128"/>
    </font>
    <font>
      <sz val="48"/>
      <color rgb="FFFAEA00"/>
      <name val="Aharoni"/>
    </font>
    <font>
      <sz val="16"/>
      <color rgb="FF002060"/>
      <name val="Meiryo UI"/>
      <family val="3"/>
      <charset val="128"/>
    </font>
    <font>
      <sz val="9"/>
      <color theme="1"/>
      <name val="Meiryo UI"/>
      <family val="3"/>
      <charset val="128"/>
    </font>
    <font>
      <sz val="11"/>
      <color theme="0" tint="-0.499984740745262"/>
      <name val="Meiryo UI"/>
      <family val="3"/>
      <charset val="128"/>
    </font>
    <font>
      <u/>
      <sz val="9"/>
      <color rgb="FF0070C0"/>
      <name val="Meiryo UI"/>
      <family val="3"/>
      <charset val="128"/>
    </font>
    <font>
      <sz val="7"/>
      <color theme="1"/>
      <name val="Meiryo UI"/>
      <family val="3"/>
      <charset val="128"/>
    </font>
    <font>
      <sz val="8"/>
      <color theme="1"/>
      <name val="Meiryo UI"/>
      <family val="3"/>
      <charset val="128"/>
    </font>
    <font>
      <sz val="8"/>
      <color theme="0" tint="-0.499984740745262"/>
      <name val="Meiryo UI"/>
      <family val="3"/>
      <charset val="128"/>
    </font>
    <font>
      <sz val="16"/>
      <name val="Meiryo UI"/>
      <family val="3"/>
      <charset val="128"/>
    </font>
    <font>
      <sz val="28"/>
      <color rgb="FFFAEA00"/>
      <name val="HGP明朝E"/>
      <family val="1"/>
      <charset val="128"/>
    </font>
    <font>
      <sz val="36"/>
      <color rgb="FFFAEA00"/>
      <name val="HGP明朝E"/>
      <family val="1"/>
      <charset val="128"/>
    </font>
    <font>
      <sz val="11"/>
      <color rgb="FF002060"/>
      <name val="HG丸ｺﾞｼｯｸM-PRO"/>
      <family val="3"/>
      <charset val="128"/>
    </font>
    <font>
      <sz val="8"/>
      <color rgb="FF002060"/>
      <name val="HG丸ｺﾞｼｯｸM-PRO"/>
      <family val="3"/>
      <charset val="128"/>
    </font>
    <font>
      <sz val="9"/>
      <color rgb="FF002060"/>
      <name val="HG丸ｺﾞｼｯｸM-PRO"/>
      <family val="3"/>
      <charset val="128"/>
    </font>
    <font>
      <sz val="36"/>
      <color rgb="FFFAB0BC"/>
      <name val="HGP明朝E"/>
      <family val="1"/>
      <charset val="128"/>
    </font>
    <font>
      <b/>
      <sz val="11"/>
      <color rgb="FFFF0000"/>
      <name val="Meiryo UI"/>
      <family val="3"/>
      <charset val="128"/>
    </font>
    <font>
      <sz val="8"/>
      <color rgb="FFFF0000"/>
      <name val="Meiryo UI"/>
      <family val="3"/>
      <charset val="128"/>
    </font>
    <font>
      <sz val="12"/>
      <color rgb="FF002060"/>
      <name val="HG丸ｺﾞｼｯｸM-PRO"/>
      <family val="3"/>
      <charset val="128"/>
    </font>
    <font>
      <sz val="11"/>
      <color rgb="FFFF0000"/>
      <name val="Meiryo UI"/>
      <family val="3"/>
      <charset val="128"/>
    </font>
    <font>
      <b/>
      <sz val="8"/>
      <color rgb="FFFF0000"/>
      <name val="Meiryo UI"/>
      <family val="3"/>
      <charset val="128"/>
    </font>
    <font>
      <b/>
      <sz val="9"/>
      <color rgb="FFFF0000"/>
      <name val="Meiryo UI"/>
      <family val="3"/>
      <charset val="128"/>
    </font>
    <font>
      <sz val="9"/>
      <color rgb="FFFF0000"/>
      <name val="Meiryo UI"/>
      <family val="3"/>
      <charset val="128"/>
    </font>
    <font>
      <sz val="48"/>
      <color rgb="FFE70012"/>
      <name val="Aharoni"/>
    </font>
    <font>
      <b/>
      <sz val="12"/>
      <color theme="1"/>
      <name val="HG丸ｺﾞｼｯｸM-PRO"/>
      <family val="3"/>
      <charset val="128"/>
    </font>
    <font>
      <sz val="36"/>
      <color rgb="FFFAB0BC"/>
      <name val="Aharoni"/>
    </font>
    <font>
      <b/>
      <sz val="10"/>
      <color theme="0"/>
      <name val="Yu Gothic"/>
      <family val="3"/>
      <charset val="128"/>
    </font>
    <font>
      <b/>
      <sz val="10"/>
      <color theme="0"/>
      <name val="Aharoni"/>
    </font>
    <font>
      <sz val="11"/>
      <color theme="1"/>
      <name val="HG丸ｺﾞｼｯｸM-PRO"/>
      <family val="2"/>
      <charset val="128"/>
    </font>
    <font>
      <sz val="12"/>
      <color theme="1"/>
      <name val="HG丸ｺﾞｼｯｸM-PRO"/>
      <family val="2"/>
      <charset val="128"/>
    </font>
    <font>
      <sz val="36"/>
      <color rgb="FFFAB0BC"/>
      <name val="HG丸ｺﾞｼｯｸM-PRO"/>
      <family val="2"/>
      <charset val="128"/>
    </font>
  </fonts>
  <fills count="10">
    <fill>
      <patternFill patternType="none"/>
    </fill>
    <fill>
      <patternFill patternType="gray125"/>
    </fill>
    <fill>
      <patternFill patternType="solid">
        <fgColor rgb="FF16B0BC"/>
        <bgColor indexed="64"/>
      </patternFill>
    </fill>
    <fill>
      <patternFill patternType="solid">
        <fgColor rgb="FFFAEA00"/>
        <bgColor indexed="64"/>
      </patternFill>
    </fill>
    <fill>
      <patternFill patternType="solid">
        <fgColor rgb="FFFFFFCC"/>
        <bgColor indexed="64"/>
      </patternFill>
    </fill>
    <fill>
      <patternFill patternType="solid">
        <fgColor theme="8" tint="0.79998168889431442"/>
        <bgColor indexed="64"/>
      </patternFill>
    </fill>
    <fill>
      <patternFill patternType="solid">
        <fgColor rgb="FFFAB0BC"/>
        <bgColor indexed="64"/>
      </patternFill>
    </fill>
    <fill>
      <patternFill patternType="solid">
        <fgColor rgb="FFFFEFEF"/>
        <bgColor indexed="64"/>
      </patternFill>
    </fill>
    <fill>
      <patternFill patternType="solid">
        <fgColor rgb="FFE70012"/>
        <bgColor indexed="64"/>
      </patternFill>
    </fill>
    <fill>
      <patternFill patternType="solid">
        <fgColor rgb="FFFFEBEC"/>
        <bgColor indexed="64"/>
      </patternFill>
    </fill>
  </fills>
  <borders count="85">
    <border>
      <left/>
      <right/>
      <top/>
      <bottom/>
      <diagonal/>
    </border>
    <border>
      <left/>
      <right/>
      <top/>
      <bottom style="thin">
        <color indexed="64"/>
      </bottom>
      <diagonal/>
    </border>
    <border>
      <left/>
      <right style="medium">
        <color rgb="FF16B0BC"/>
      </right>
      <top/>
      <bottom/>
      <diagonal/>
    </border>
    <border>
      <left style="medium">
        <color rgb="FF16B0BC"/>
      </left>
      <right style="medium">
        <color rgb="FF16B0BC"/>
      </right>
      <top/>
      <bottom/>
      <diagonal/>
    </border>
    <border>
      <left style="medium">
        <color rgb="FF16B0BC"/>
      </left>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hair">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medium">
        <color rgb="FFFAB0BC"/>
      </left>
      <right/>
      <top style="medium">
        <color rgb="FFFAB0BC"/>
      </top>
      <bottom/>
      <diagonal/>
    </border>
    <border>
      <left/>
      <right/>
      <top style="medium">
        <color rgb="FFFAB0BC"/>
      </top>
      <bottom/>
      <diagonal/>
    </border>
    <border>
      <left/>
      <right style="medium">
        <color rgb="FFFAB0BC"/>
      </right>
      <top style="medium">
        <color rgb="FFFAB0BC"/>
      </top>
      <bottom/>
      <diagonal/>
    </border>
    <border>
      <left style="medium">
        <color rgb="FFFAB0BC"/>
      </left>
      <right/>
      <top/>
      <bottom/>
      <diagonal/>
    </border>
    <border>
      <left/>
      <right style="medium">
        <color rgb="FFFAB0BC"/>
      </right>
      <top/>
      <bottom/>
      <diagonal/>
    </border>
    <border>
      <left style="medium">
        <color rgb="FFFAB0BC"/>
      </left>
      <right/>
      <top/>
      <bottom style="medium">
        <color rgb="FFFAB0BC"/>
      </bottom>
      <diagonal/>
    </border>
    <border>
      <left/>
      <right/>
      <top/>
      <bottom style="medium">
        <color rgb="FFFAB0BC"/>
      </bottom>
      <diagonal/>
    </border>
    <border>
      <left/>
      <right style="medium">
        <color rgb="FFFAB0BC"/>
      </right>
      <top/>
      <bottom style="medium">
        <color rgb="FFFAB0BC"/>
      </bottom>
      <diagonal/>
    </border>
    <border>
      <left style="medium">
        <color rgb="FFFAB0BC"/>
      </left>
      <right/>
      <top style="medium">
        <color rgb="FFFAB0BC"/>
      </top>
      <bottom style="medium">
        <color rgb="FFFAB0BC"/>
      </bottom>
      <diagonal/>
    </border>
    <border>
      <left/>
      <right/>
      <top style="medium">
        <color rgb="FFFAB0BC"/>
      </top>
      <bottom style="medium">
        <color rgb="FFFAB0BC"/>
      </bottom>
      <diagonal/>
    </border>
    <border>
      <left/>
      <right style="medium">
        <color rgb="FFFAB0BC"/>
      </right>
      <top style="medium">
        <color rgb="FFFAB0BC"/>
      </top>
      <bottom style="medium">
        <color rgb="FFFAB0BC"/>
      </bottom>
      <diagonal/>
    </border>
    <border>
      <left style="medium">
        <color rgb="FFFAB0BC"/>
      </left>
      <right style="medium">
        <color rgb="FFFAB0BC"/>
      </right>
      <top/>
      <bottom/>
      <diagonal/>
    </border>
    <border>
      <left style="thick">
        <color rgb="FFFAB0BC"/>
      </left>
      <right/>
      <top style="thick">
        <color rgb="FFFAB0BC"/>
      </top>
      <bottom/>
      <diagonal/>
    </border>
    <border>
      <left/>
      <right/>
      <top style="thick">
        <color rgb="FFFAB0BC"/>
      </top>
      <bottom/>
      <diagonal/>
    </border>
    <border>
      <left/>
      <right style="thick">
        <color rgb="FFFAB0BC"/>
      </right>
      <top style="thick">
        <color rgb="FFFAB0BC"/>
      </top>
      <bottom/>
      <diagonal/>
    </border>
    <border>
      <left style="thick">
        <color rgb="FFFAB0BC"/>
      </left>
      <right/>
      <top/>
      <bottom style="thick">
        <color rgb="FFFAB0BC"/>
      </bottom>
      <diagonal/>
    </border>
    <border>
      <left/>
      <right/>
      <top/>
      <bottom style="thick">
        <color rgb="FFFAB0BC"/>
      </bottom>
      <diagonal/>
    </border>
    <border>
      <left/>
      <right style="thick">
        <color rgb="FFFAB0BC"/>
      </right>
      <top/>
      <bottom style="thick">
        <color rgb="FFFAB0BC"/>
      </bottom>
      <diagonal/>
    </border>
    <border>
      <left style="thick">
        <color rgb="FFE70012"/>
      </left>
      <right/>
      <top style="thick">
        <color rgb="FFE70012"/>
      </top>
      <bottom/>
      <diagonal/>
    </border>
    <border>
      <left/>
      <right/>
      <top style="thick">
        <color rgb="FFE70012"/>
      </top>
      <bottom/>
      <diagonal/>
    </border>
    <border>
      <left/>
      <right style="thick">
        <color rgb="FFE70012"/>
      </right>
      <top style="thick">
        <color rgb="FFE70012"/>
      </top>
      <bottom/>
      <diagonal/>
    </border>
    <border>
      <left style="thick">
        <color rgb="FFE70012"/>
      </left>
      <right/>
      <top/>
      <bottom style="thick">
        <color rgb="FFE70012"/>
      </bottom>
      <diagonal/>
    </border>
    <border>
      <left/>
      <right/>
      <top/>
      <bottom style="thick">
        <color rgb="FFE70012"/>
      </bottom>
      <diagonal/>
    </border>
    <border>
      <left/>
      <right style="thick">
        <color rgb="FFE70012"/>
      </right>
      <top/>
      <bottom style="thick">
        <color rgb="FFE70012"/>
      </bottom>
      <diagonal/>
    </border>
    <border>
      <left style="medium">
        <color rgb="FFE70012"/>
      </left>
      <right style="medium">
        <color rgb="FFE70012"/>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style="medium">
        <color rgb="FFE70012"/>
      </left>
      <right/>
      <top style="medium">
        <color rgb="FFE70012"/>
      </top>
      <bottom/>
      <diagonal/>
    </border>
    <border>
      <left/>
      <right/>
      <top style="medium">
        <color rgb="FFE70012"/>
      </top>
      <bottom/>
      <diagonal/>
    </border>
    <border>
      <left/>
      <right style="medium">
        <color rgb="FFE70012"/>
      </right>
      <top style="medium">
        <color rgb="FFE70012"/>
      </top>
      <bottom/>
      <diagonal/>
    </border>
    <border>
      <left style="medium">
        <color rgb="FFE70012"/>
      </left>
      <right/>
      <top/>
      <bottom/>
      <diagonal/>
    </border>
    <border>
      <left/>
      <right style="medium">
        <color rgb="FFE70012"/>
      </right>
      <top/>
      <bottom/>
      <diagonal/>
    </border>
    <border>
      <left style="medium">
        <color rgb="FFE70012"/>
      </left>
      <right/>
      <top/>
      <bottom style="medium">
        <color rgb="FFE70012"/>
      </bottom>
      <diagonal/>
    </border>
    <border>
      <left/>
      <right/>
      <top/>
      <bottom style="medium">
        <color rgb="FFE70012"/>
      </bottom>
      <diagonal/>
    </border>
    <border>
      <left/>
      <right style="medium">
        <color rgb="FFE70012"/>
      </right>
      <top/>
      <bottom style="medium">
        <color rgb="FFE70012"/>
      </bottom>
      <diagonal/>
    </border>
  </borders>
  <cellStyleXfs count="1">
    <xf numFmtId="0" fontId="0" fillId="0" borderId="0">
      <alignment vertical="center"/>
    </xf>
  </cellStyleXfs>
  <cellXfs count="276">
    <xf numFmtId="0" fontId="0" fillId="0" borderId="0" xfId="0">
      <alignment vertical="center"/>
    </xf>
    <xf numFmtId="0" fontId="3" fillId="0" borderId="0" xfId="0" applyFont="1">
      <alignment vertical="center"/>
    </xf>
    <xf numFmtId="0" fontId="6" fillId="0" borderId="0" xfId="0" applyFont="1">
      <alignment vertical="center"/>
    </xf>
    <xf numFmtId="0" fontId="4" fillId="0" borderId="0" xfId="0" applyFont="1">
      <alignment vertical="center"/>
    </xf>
    <xf numFmtId="0" fontId="7" fillId="0" borderId="0" xfId="0" applyFont="1">
      <alignment vertical="center"/>
    </xf>
    <xf numFmtId="0" fontId="11" fillId="0" borderId="0" xfId="0" applyFont="1">
      <alignment vertical="center"/>
    </xf>
    <xf numFmtId="0" fontId="8" fillId="0" borderId="0" xfId="0" applyFont="1" applyAlignment="1"/>
    <xf numFmtId="0" fontId="5" fillId="0" borderId="0" xfId="0" applyFont="1">
      <alignment vertical="center"/>
    </xf>
    <xf numFmtId="0" fontId="2" fillId="0" borderId="0" xfId="0" applyFont="1" applyAlignment="1">
      <alignment vertical="top" wrapText="1"/>
    </xf>
    <xf numFmtId="0" fontId="8" fillId="0" borderId="0" xfId="0" applyFont="1">
      <alignment vertical="center"/>
    </xf>
    <xf numFmtId="0" fontId="2" fillId="0" borderId="0" xfId="0" applyFont="1" applyAlignment="1">
      <alignment vertical="top"/>
    </xf>
    <xf numFmtId="0" fontId="2" fillId="0" borderId="0" xfId="0" applyFont="1" applyAlignment="1">
      <alignment vertical="center" wrapText="1"/>
    </xf>
    <xf numFmtId="0" fontId="3" fillId="0" borderId="0" xfId="0" applyFont="1" applyAlignment="1">
      <alignment horizontal="center" vertical="center"/>
    </xf>
    <xf numFmtId="0" fontId="2" fillId="0" borderId="0" xfId="0" applyFont="1" applyAlignment="1">
      <alignment horizontal="center" vertical="center" wrapText="1"/>
    </xf>
    <xf numFmtId="0" fontId="10" fillId="0" borderId="0" xfId="0" applyFont="1" applyAlignment="1">
      <alignment horizontal="right" vertical="center" wrapText="1" indent="1"/>
    </xf>
    <xf numFmtId="0" fontId="6" fillId="0" borderId="0" xfId="0" applyFont="1" applyAlignment="1">
      <alignment horizontal="center" vertical="center"/>
    </xf>
    <xf numFmtId="0" fontId="6" fillId="0" borderId="0" xfId="0" applyFont="1" applyAlignment="1">
      <alignment horizontal="left" vertical="center"/>
    </xf>
    <xf numFmtId="0" fontId="19" fillId="0" borderId="0" xfId="0" applyFont="1">
      <alignment vertical="center"/>
    </xf>
    <xf numFmtId="0" fontId="22" fillId="0" borderId="0" xfId="0" applyFont="1" applyAlignment="1">
      <alignment vertical="top"/>
    </xf>
    <xf numFmtId="0" fontId="22" fillId="0" borderId="0" xfId="0" applyFont="1" applyAlignment="1">
      <alignment horizontal="left" vertical="center"/>
    </xf>
    <xf numFmtId="0" fontId="29" fillId="0" borderId="0" xfId="0" applyFont="1">
      <alignment vertical="center"/>
    </xf>
    <xf numFmtId="0" fontId="20" fillId="0" borderId="0" xfId="0" applyFont="1">
      <alignment vertical="center"/>
    </xf>
    <xf numFmtId="49" fontId="8" fillId="0" borderId="0" xfId="0" applyNumberFormat="1" applyFont="1">
      <alignment vertical="center"/>
    </xf>
    <xf numFmtId="0" fontId="30" fillId="0" borderId="0" xfId="0" applyFont="1">
      <alignment vertical="center"/>
    </xf>
    <xf numFmtId="0" fontId="14" fillId="0" borderId="0" xfId="0" applyFont="1" applyAlignment="1"/>
    <xf numFmtId="0" fontId="15" fillId="0" borderId="0" xfId="0" applyFont="1" applyAlignment="1"/>
    <xf numFmtId="0" fontId="34" fillId="0" borderId="0" xfId="0" applyFont="1">
      <alignment vertical="center"/>
    </xf>
    <xf numFmtId="0" fontId="44" fillId="0" borderId="0" xfId="0" applyFont="1">
      <alignment vertical="center"/>
    </xf>
    <xf numFmtId="0" fontId="2" fillId="0" borderId="0" xfId="0" applyFont="1">
      <alignment vertical="center"/>
    </xf>
    <xf numFmtId="0" fontId="8" fillId="0" borderId="0" xfId="0" applyFont="1" applyAlignment="1">
      <alignment horizontal="right" vertical="center"/>
    </xf>
    <xf numFmtId="49" fontId="8" fillId="0" borderId="0" xfId="0" applyNumberFormat="1" applyFont="1" applyAlignment="1">
      <alignment horizontal="center" vertical="center"/>
    </xf>
    <xf numFmtId="0" fontId="9" fillId="0" borderId="0" xfId="0" applyFont="1" applyAlignment="1">
      <alignment horizontal="left" vertical="center" indent="1" shrinkToFit="1"/>
    </xf>
    <xf numFmtId="0" fontId="9" fillId="0" borderId="1" xfId="0" applyFont="1" applyBorder="1" applyAlignment="1">
      <alignment horizontal="left" vertical="center" indent="1" shrinkToFit="1"/>
    </xf>
    <xf numFmtId="0" fontId="33" fillId="0" borderId="49" xfId="0" applyFont="1" applyBorder="1" applyAlignment="1">
      <alignment horizontal="left" vertical="center"/>
    </xf>
    <xf numFmtId="0" fontId="33" fillId="0" borderId="50" xfId="0" applyFont="1" applyBorder="1" applyAlignment="1">
      <alignment horizontal="left" vertical="center"/>
    </xf>
    <xf numFmtId="0" fontId="33" fillId="0" borderId="51" xfId="0" applyFont="1" applyBorder="1" applyAlignment="1">
      <alignment horizontal="left" vertical="center"/>
    </xf>
    <xf numFmtId="0" fontId="31" fillId="6" borderId="57" xfId="0" applyFont="1" applyFill="1" applyBorder="1" applyAlignment="1">
      <alignment horizontal="center" vertical="center"/>
    </xf>
    <xf numFmtId="0" fontId="31" fillId="6" borderId="58" xfId="0" applyFont="1" applyFill="1" applyBorder="1" applyAlignment="1">
      <alignment horizontal="center" vertical="center"/>
    </xf>
    <xf numFmtId="0" fontId="31" fillId="6" borderId="59" xfId="0" applyFont="1" applyFill="1" applyBorder="1" applyAlignment="1">
      <alignment horizontal="center" vertical="center"/>
    </xf>
    <xf numFmtId="3" fontId="18" fillId="7" borderId="0" xfId="0" applyNumberFormat="1" applyFont="1" applyFill="1" applyAlignment="1">
      <alignment horizontal="right" vertical="center" indent="1"/>
    </xf>
    <xf numFmtId="0" fontId="18" fillId="7" borderId="0" xfId="0" applyFont="1" applyFill="1" applyAlignment="1">
      <alignment horizontal="right" vertical="center" indent="1"/>
    </xf>
    <xf numFmtId="0" fontId="2" fillId="0" borderId="52" xfId="0" applyFont="1" applyBorder="1" applyAlignment="1">
      <alignment horizontal="left" vertical="top" wrapText="1"/>
    </xf>
    <xf numFmtId="0" fontId="2" fillId="0" borderId="0" xfId="0" applyFont="1" applyAlignment="1">
      <alignment horizontal="left" vertical="top" wrapText="1"/>
    </xf>
    <xf numFmtId="0" fontId="2" fillId="0" borderId="53" xfId="0" applyFont="1" applyBorder="1" applyAlignment="1">
      <alignment horizontal="left" vertical="top" wrapText="1"/>
    </xf>
    <xf numFmtId="0" fontId="2" fillId="0" borderId="54" xfId="0" applyFont="1" applyBorder="1" applyAlignment="1">
      <alignment horizontal="left" vertical="top" wrapText="1"/>
    </xf>
    <xf numFmtId="0" fontId="2" fillId="0" borderId="55" xfId="0" applyFont="1" applyBorder="1" applyAlignment="1">
      <alignment horizontal="left" vertical="top" wrapText="1"/>
    </xf>
    <xf numFmtId="0" fontId="2" fillId="0" borderId="56" xfId="0" applyFont="1" applyBorder="1" applyAlignment="1">
      <alignment horizontal="left" vertical="top" wrapText="1"/>
    </xf>
    <xf numFmtId="3" fontId="18" fillId="0" borderId="0" xfId="0" applyNumberFormat="1" applyFont="1" applyAlignment="1">
      <alignment horizontal="right" vertical="center" indent="1"/>
    </xf>
    <xf numFmtId="0" fontId="18" fillId="0" borderId="0" xfId="0" applyFont="1" applyAlignment="1">
      <alignment horizontal="right" vertical="center" indent="1"/>
    </xf>
    <xf numFmtId="0" fontId="47" fillId="0" borderId="0" xfId="0" applyFont="1" applyAlignment="1">
      <alignment horizontal="left" vertical="center" indent="1" shrinkToFit="1"/>
    </xf>
    <xf numFmtId="0" fontId="47" fillId="0" borderId="53" xfId="0" applyFont="1" applyBorder="1" applyAlignment="1">
      <alignment horizontal="left" vertical="center" indent="1" shrinkToFit="1"/>
    </xf>
    <xf numFmtId="0" fontId="47" fillId="0" borderId="52" xfId="0" applyFont="1" applyBorder="1" applyAlignment="1">
      <alignment horizontal="center" vertical="center"/>
    </xf>
    <xf numFmtId="0" fontId="47" fillId="0" borderId="0" xfId="0" applyFont="1" applyAlignment="1">
      <alignment horizontal="center" vertical="center"/>
    </xf>
    <xf numFmtId="0" fontId="47" fillId="0" borderId="53" xfId="0" applyFont="1" applyBorder="1" applyAlignment="1">
      <alignment horizontal="center" vertical="center"/>
    </xf>
    <xf numFmtId="3" fontId="48" fillId="0" borderId="52" xfId="0" applyNumberFormat="1" applyFont="1" applyBorder="1" applyAlignment="1">
      <alignment horizontal="right" vertical="center" wrapText="1" indent="1"/>
    </xf>
    <xf numFmtId="3" fontId="48" fillId="0" borderId="0" xfId="0" applyNumberFormat="1" applyFont="1" applyAlignment="1">
      <alignment horizontal="right" vertical="center" wrapText="1" indent="1"/>
    </xf>
    <xf numFmtId="3" fontId="48" fillId="0" borderId="53" xfId="0" applyNumberFormat="1" applyFont="1" applyBorder="1" applyAlignment="1">
      <alignment horizontal="right" vertical="center" wrapText="1" indent="1"/>
    </xf>
    <xf numFmtId="0" fontId="47" fillId="7" borderId="0" xfId="0" applyFont="1" applyFill="1" applyAlignment="1">
      <alignment horizontal="left" vertical="center" indent="1" shrinkToFit="1"/>
    </xf>
    <xf numFmtId="0" fontId="47" fillId="7" borderId="53" xfId="0" applyFont="1" applyFill="1" applyBorder="1" applyAlignment="1">
      <alignment horizontal="left" vertical="center" indent="1" shrinkToFit="1"/>
    </xf>
    <xf numFmtId="0" fontId="47" fillId="7" borderId="52" xfId="0" applyFont="1" applyFill="1" applyBorder="1" applyAlignment="1">
      <alignment horizontal="center" vertical="center"/>
    </xf>
    <xf numFmtId="0" fontId="47" fillId="7" borderId="0" xfId="0" applyFont="1" applyFill="1" applyAlignment="1">
      <alignment horizontal="center" vertical="center"/>
    </xf>
    <xf numFmtId="0" fontId="47" fillId="7" borderId="53" xfId="0" applyFont="1" applyFill="1" applyBorder="1" applyAlignment="1">
      <alignment horizontal="center" vertical="center"/>
    </xf>
    <xf numFmtId="3" fontId="48" fillId="7" borderId="52" xfId="0" applyNumberFormat="1" applyFont="1" applyFill="1" applyBorder="1" applyAlignment="1">
      <alignment horizontal="right" vertical="center" wrapText="1" indent="1"/>
    </xf>
    <xf numFmtId="3" fontId="48" fillId="7" borderId="0" xfId="0" applyNumberFormat="1" applyFont="1" applyFill="1" applyAlignment="1">
      <alignment horizontal="right" vertical="center" wrapText="1" indent="1"/>
    </xf>
    <xf numFmtId="3" fontId="48" fillId="7" borderId="53" xfId="0" applyNumberFormat="1" applyFont="1" applyFill="1" applyBorder="1" applyAlignment="1">
      <alignment horizontal="right" vertical="center" wrapText="1" indent="1"/>
    </xf>
    <xf numFmtId="0" fontId="47" fillId="0" borderId="2" xfId="0" applyFont="1" applyBorder="1" applyAlignment="1">
      <alignment horizontal="left" vertical="center" indent="1" shrinkToFit="1"/>
    </xf>
    <xf numFmtId="0" fontId="47" fillId="0" borderId="3" xfId="0" applyFont="1" applyBorder="1" applyAlignment="1">
      <alignment horizontal="left" vertical="center" indent="1" shrinkToFit="1"/>
    </xf>
    <xf numFmtId="0" fontId="47" fillId="0" borderId="4" xfId="0" applyFont="1" applyBorder="1" applyAlignment="1">
      <alignment horizontal="left" vertical="center" indent="1" shrinkToFit="1"/>
    </xf>
    <xf numFmtId="0" fontId="47" fillId="0" borderId="60" xfId="0" applyFont="1" applyBorder="1" applyAlignment="1">
      <alignment horizontal="center" vertical="center"/>
    </xf>
    <xf numFmtId="3" fontId="48" fillId="0" borderId="60" xfId="0" applyNumberFormat="1" applyFont="1" applyBorder="1" applyAlignment="1">
      <alignment horizontal="right" vertical="center" wrapText="1" indent="1"/>
    </xf>
    <xf numFmtId="3" fontId="48" fillId="0" borderId="2" xfId="0" applyNumberFormat="1" applyFont="1" applyBorder="1" applyAlignment="1">
      <alignment horizontal="right" vertical="center" wrapText="1" indent="1"/>
    </xf>
    <xf numFmtId="3" fontId="48" fillId="0" borderId="3" xfId="0" applyNumberFormat="1" applyFont="1" applyBorder="1" applyAlignment="1">
      <alignment horizontal="right" vertical="center" wrapText="1" indent="1"/>
    </xf>
    <xf numFmtId="3" fontId="48" fillId="0" borderId="4" xfId="0" applyNumberFormat="1" applyFont="1" applyBorder="1" applyAlignment="1">
      <alignment horizontal="right" vertical="center" wrapText="1" indent="1"/>
    </xf>
    <xf numFmtId="0" fontId="6" fillId="0" borderId="0" xfId="0" applyFont="1" applyAlignment="1">
      <alignment horizontal="center" vertical="center"/>
    </xf>
    <xf numFmtId="177" fontId="6" fillId="0" borderId="0" xfId="0" applyNumberFormat="1"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xf>
    <xf numFmtId="0" fontId="31" fillId="6" borderId="5" xfId="0" applyFont="1" applyFill="1" applyBorder="1" applyAlignment="1">
      <alignment horizontal="center" vertical="center"/>
    </xf>
    <xf numFmtId="0" fontId="31" fillId="6" borderId="6" xfId="0" applyFont="1" applyFill="1" applyBorder="1" applyAlignment="1">
      <alignment horizontal="center" vertical="center"/>
    </xf>
    <xf numFmtId="0" fontId="31" fillId="6" borderId="7" xfId="0" applyFont="1" applyFill="1" applyBorder="1" applyAlignment="1">
      <alignment horizontal="center" vertical="center"/>
    </xf>
    <xf numFmtId="0" fontId="8" fillId="0" borderId="0" xfId="0" applyFont="1" applyAlignment="1">
      <alignment horizontal="left" vertical="center"/>
    </xf>
    <xf numFmtId="0" fontId="43" fillId="0" borderId="0" xfId="0" applyFont="1" applyAlignment="1">
      <alignment horizontal="left" vertical="center"/>
    </xf>
    <xf numFmtId="0" fontId="49" fillId="0" borderId="0" xfId="0" applyFont="1" applyAlignment="1">
      <alignment horizontal="center" vertical="center"/>
    </xf>
    <xf numFmtId="0" fontId="2" fillId="0" borderId="0" xfId="0" applyFont="1">
      <alignment vertical="center"/>
    </xf>
    <xf numFmtId="0" fontId="6" fillId="0" borderId="0" xfId="0" applyFont="1" applyAlignment="1">
      <alignment horizontal="left" vertical="center" indent="1" shrinkToFit="1"/>
    </xf>
    <xf numFmtId="0" fontId="8" fillId="0" borderId="0" xfId="0" applyFont="1" applyAlignment="1">
      <alignment horizontal="center" vertical="center"/>
    </xf>
    <xf numFmtId="0" fontId="10" fillId="0" borderId="0" xfId="0" applyFont="1" applyAlignment="1">
      <alignment horizontal="left" vertical="center"/>
    </xf>
    <xf numFmtId="0" fontId="45" fillId="0" borderId="0" xfId="0" applyFont="1" applyAlignment="1">
      <alignment horizontal="center" vertical="center"/>
    </xf>
    <xf numFmtId="0" fontId="46" fillId="0" borderId="0" xfId="0" applyFont="1" applyAlignment="1">
      <alignment horizontal="center" vertical="center"/>
    </xf>
    <xf numFmtId="0" fontId="8" fillId="0" borderId="0" xfId="0" applyFont="1" applyAlignment="1">
      <alignment horizontal="right" vertical="center" indent="1"/>
    </xf>
    <xf numFmtId="0" fontId="37" fillId="6" borderId="61" xfId="0" applyFont="1" applyFill="1" applyBorder="1" applyAlignment="1">
      <alignment horizontal="center" vertical="center"/>
    </xf>
    <xf numFmtId="0" fontId="37" fillId="6" borderId="62" xfId="0" applyFont="1" applyFill="1" applyBorder="1" applyAlignment="1">
      <alignment horizontal="center" vertical="center"/>
    </xf>
    <xf numFmtId="0" fontId="37" fillId="6" borderId="64" xfId="0" applyFont="1" applyFill="1" applyBorder="1" applyAlignment="1">
      <alignment horizontal="center" vertical="center"/>
    </xf>
    <xf numFmtId="0" fontId="37" fillId="6" borderId="65" xfId="0" applyFont="1" applyFill="1" applyBorder="1" applyAlignment="1">
      <alignment horizontal="center" vertical="center"/>
    </xf>
    <xf numFmtId="3" fontId="17" fillId="0" borderId="62" xfId="0" applyNumberFormat="1" applyFont="1" applyBorder="1" applyAlignment="1">
      <alignment horizontal="right" vertical="center" indent="1"/>
    </xf>
    <xf numFmtId="0" fontId="17" fillId="0" borderId="62" xfId="0" applyFont="1" applyBorder="1" applyAlignment="1">
      <alignment horizontal="right" vertical="center" indent="1"/>
    </xf>
    <xf numFmtId="0" fontId="17" fillId="0" borderId="65" xfId="0" applyFont="1" applyBorder="1" applyAlignment="1">
      <alignment horizontal="right" vertical="center" indent="1"/>
    </xf>
    <xf numFmtId="0" fontId="9" fillId="0" borderId="62" xfId="0" applyFont="1" applyBorder="1" applyAlignment="1">
      <alignment horizontal="left" vertical="center"/>
    </xf>
    <xf numFmtId="0" fontId="9" fillId="0" borderId="63" xfId="0" applyFont="1" applyBorder="1" applyAlignment="1">
      <alignment horizontal="left" vertical="center"/>
    </xf>
    <xf numFmtId="0" fontId="9" fillId="0" borderId="65" xfId="0" applyFont="1" applyBorder="1" applyAlignment="1">
      <alignment horizontal="left" vertical="center"/>
    </xf>
    <xf numFmtId="0" fontId="9" fillId="0" borderId="66" xfId="0" applyFont="1" applyBorder="1" applyAlignment="1">
      <alignment horizontal="left" vertical="center"/>
    </xf>
    <xf numFmtId="0" fontId="2" fillId="0" borderId="82" xfId="0" applyFont="1" applyBorder="1" applyAlignment="1">
      <alignment horizontal="right" vertical="top" indent="1"/>
    </xf>
    <xf numFmtId="0" fontId="2" fillId="0" borderId="83" xfId="0" applyFont="1" applyBorder="1" applyAlignment="1">
      <alignment horizontal="right" vertical="top" indent="1"/>
    </xf>
    <xf numFmtId="0" fontId="2" fillId="0" borderId="84" xfId="0" applyFont="1" applyBorder="1" applyAlignment="1">
      <alignment horizontal="right" vertical="top" indent="1"/>
    </xf>
    <xf numFmtId="0" fontId="11" fillId="8" borderId="76" xfId="0" applyFont="1" applyFill="1" applyBorder="1" applyAlignment="1">
      <alignment horizontal="center" vertical="center"/>
    </xf>
    <xf numFmtId="3" fontId="18" fillId="9" borderId="0" xfId="0" applyNumberFormat="1" applyFont="1" applyFill="1" applyAlignment="1">
      <alignment horizontal="right" vertical="center" indent="1"/>
    </xf>
    <xf numFmtId="0" fontId="14" fillId="0" borderId="0" xfId="0" applyFont="1" applyAlignment="1">
      <alignment horizontal="left"/>
    </xf>
    <xf numFmtId="0" fontId="15" fillId="0" borderId="0" xfId="0" applyFont="1" applyAlignment="1">
      <alignment horizontal="left"/>
    </xf>
    <xf numFmtId="0" fontId="8" fillId="0" borderId="0" xfId="0" quotePrefix="1" applyFont="1" applyAlignment="1">
      <alignment horizontal="center" vertical="center"/>
    </xf>
    <xf numFmtId="0" fontId="33" fillId="0" borderId="77" xfId="0" applyFont="1" applyBorder="1" applyAlignment="1">
      <alignment horizontal="center" vertical="center"/>
    </xf>
    <xf numFmtId="0" fontId="33" fillId="0" borderId="78" xfId="0" applyFont="1" applyBorder="1" applyAlignment="1">
      <alignment horizontal="center" vertical="center"/>
    </xf>
    <xf numFmtId="0" fontId="8" fillId="0" borderId="78" xfId="0" applyFont="1" applyBorder="1" applyAlignment="1">
      <alignment horizontal="left" vertical="center"/>
    </xf>
    <xf numFmtId="0" fontId="8" fillId="0" borderId="79" xfId="0" applyFont="1" applyBorder="1" applyAlignment="1">
      <alignment horizontal="left" vertical="center"/>
    </xf>
    <xf numFmtId="0" fontId="11" fillId="8" borderId="75" xfId="0" applyFont="1" applyFill="1" applyBorder="1" applyAlignment="1">
      <alignment horizontal="center" vertical="center"/>
    </xf>
    <xf numFmtId="0" fontId="8" fillId="0" borderId="80" xfId="0" applyFont="1" applyBorder="1" applyAlignment="1">
      <alignment horizontal="left" vertical="top" indent="1"/>
    </xf>
    <xf numFmtId="0" fontId="8" fillId="0" borderId="0" xfId="0" applyFont="1" applyAlignment="1">
      <alignment horizontal="left" vertical="top" indent="1"/>
    </xf>
    <xf numFmtId="0" fontId="8" fillId="0" borderId="81" xfId="0" applyFont="1" applyBorder="1" applyAlignment="1">
      <alignment horizontal="left" vertical="top" indent="1"/>
    </xf>
    <xf numFmtId="0" fontId="11" fillId="8" borderId="74" xfId="0" applyFont="1" applyFill="1" applyBorder="1" applyAlignment="1">
      <alignment horizontal="center" vertical="center"/>
    </xf>
    <xf numFmtId="0" fontId="19" fillId="0" borderId="0" xfId="0" applyFont="1" applyAlignment="1">
      <alignment horizontal="left" vertical="center" indent="1" shrinkToFit="1"/>
    </xf>
    <xf numFmtId="0" fontId="3" fillId="0" borderId="73" xfId="0" applyFont="1" applyBorder="1" applyAlignment="1">
      <alignment horizontal="center" vertical="center"/>
    </xf>
    <xf numFmtId="0" fontId="18" fillId="0" borderId="73" xfId="0" applyFont="1" applyBorder="1" applyAlignment="1">
      <alignment horizontal="right" vertical="center" wrapText="1" indent="1"/>
    </xf>
    <xf numFmtId="0" fontId="18" fillId="0" borderId="0" xfId="0" applyFont="1" applyAlignment="1">
      <alignment horizontal="right" vertical="center" wrapText="1" indent="1"/>
    </xf>
    <xf numFmtId="0" fontId="19" fillId="9" borderId="0" xfId="0" applyFont="1" applyFill="1" applyAlignment="1">
      <alignment horizontal="left" vertical="center" indent="1" shrinkToFit="1"/>
    </xf>
    <xf numFmtId="0" fontId="3" fillId="9" borderId="73" xfId="0" applyFont="1" applyFill="1" applyBorder="1" applyAlignment="1">
      <alignment horizontal="center" vertical="center"/>
    </xf>
    <xf numFmtId="0" fontId="18" fillId="9" borderId="73" xfId="0" applyFont="1" applyFill="1" applyBorder="1" applyAlignment="1">
      <alignment horizontal="right" vertical="center" wrapText="1" indent="1"/>
    </xf>
    <xf numFmtId="0" fontId="18" fillId="9" borderId="0" xfId="0" applyFont="1" applyFill="1" applyAlignment="1">
      <alignment horizontal="right" vertical="center" wrapText="1" indent="1"/>
    </xf>
    <xf numFmtId="3" fontId="18" fillId="0" borderId="73" xfId="0" applyNumberFormat="1" applyFont="1" applyBorder="1" applyAlignment="1">
      <alignment horizontal="right" vertical="center" wrapText="1" indent="1"/>
    </xf>
    <xf numFmtId="3" fontId="18" fillId="0" borderId="0" xfId="0" applyNumberFormat="1" applyFont="1" applyAlignment="1">
      <alignment horizontal="right" vertical="center" wrapText="1" indent="1"/>
    </xf>
    <xf numFmtId="0" fontId="11" fillId="8" borderId="5" xfId="0" applyFont="1" applyFill="1" applyBorder="1" applyAlignment="1">
      <alignment horizontal="center" vertical="center"/>
    </xf>
    <xf numFmtId="0" fontId="11" fillId="8" borderId="6" xfId="0" applyFont="1" applyFill="1" applyBorder="1" applyAlignment="1">
      <alignment horizontal="center" vertical="center"/>
    </xf>
    <xf numFmtId="0" fontId="11" fillId="8" borderId="7" xfId="0" applyFont="1" applyFill="1" applyBorder="1" applyAlignment="1">
      <alignment horizontal="center" vertical="center"/>
    </xf>
    <xf numFmtId="0" fontId="12" fillId="8" borderId="67" xfId="0" applyFont="1" applyFill="1" applyBorder="1" applyAlignment="1">
      <alignment horizontal="center" vertical="center"/>
    </xf>
    <xf numFmtId="0" fontId="12" fillId="8" borderId="68" xfId="0" applyFont="1" applyFill="1" applyBorder="1" applyAlignment="1">
      <alignment horizontal="center" vertical="center"/>
    </xf>
    <xf numFmtId="0" fontId="12" fillId="8" borderId="70" xfId="0" applyFont="1" applyFill="1" applyBorder="1" applyAlignment="1">
      <alignment horizontal="center" vertical="center"/>
    </xf>
    <xf numFmtId="0" fontId="12" fillId="8" borderId="71" xfId="0" applyFont="1" applyFill="1" applyBorder="1" applyAlignment="1">
      <alignment horizontal="center" vertical="center"/>
    </xf>
    <xf numFmtId="3" fontId="17" fillId="0" borderId="68" xfId="0" applyNumberFormat="1" applyFont="1" applyBorder="1" applyAlignment="1">
      <alignment horizontal="right" vertical="center" indent="1"/>
    </xf>
    <xf numFmtId="0" fontId="17" fillId="0" borderId="68" xfId="0" applyFont="1" applyBorder="1" applyAlignment="1">
      <alignment horizontal="right" vertical="center" indent="1"/>
    </xf>
    <xf numFmtId="0" fontId="17" fillId="0" borderId="71" xfId="0" applyFont="1" applyBorder="1" applyAlignment="1">
      <alignment horizontal="right" vertical="center" indent="1"/>
    </xf>
    <xf numFmtId="0" fontId="9" fillId="0" borderId="68" xfId="0" applyFont="1" applyBorder="1" applyAlignment="1">
      <alignment horizontal="left" vertical="center"/>
    </xf>
    <xf numFmtId="0" fontId="9" fillId="0" borderId="69" xfId="0" applyFont="1" applyBorder="1" applyAlignment="1">
      <alignment horizontal="left" vertical="center"/>
    </xf>
    <xf numFmtId="0" fontId="9" fillId="0" borderId="71" xfId="0" applyFont="1" applyBorder="1" applyAlignment="1">
      <alignment horizontal="left" vertical="center"/>
    </xf>
    <xf numFmtId="0" fontId="9" fillId="0" borderId="72" xfId="0" applyFont="1" applyBorder="1" applyAlignment="1">
      <alignment horizontal="left" vertical="center"/>
    </xf>
    <xf numFmtId="14" fontId="2" fillId="0" borderId="0" xfId="0" applyNumberFormat="1" applyFont="1" applyAlignment="1">
      <alignment horizontal="left" vertical="center"/>
    </xf>
    <xf numFmtId="176" fontId="2" fillId="0" borderId="0" xfId="0" applyNumberFormat="1" applyFont="1" applyAlignment="1">
      <alignment horizontal="center" vertical="center"/>
    </xf>
    <xf numFmtId="0" fontId="42" fillId="0" borderId="0" xfId="0" applyFont="1" applyAlignment="1">
      <alignment horizontal="center" vertical="center"/>
    </xf>
    <xf numFmtId="0" fontId="9" fillId="0" borderId="0" xfId="0" applyFont="1" applyAlignment="1">
      <alignment horizontal="left" vertical="center"/>
    </xf>
    <xf numFmtId="0" fontId="19" fillId="2" borderId="32" xfId="0" applyFont="1" applyFill="1" applyBorder="1" applyAlignment="1">
      <alignment horizontal="center" vertical="center" textRotation="255"/>
    </xf>
    <xf numFmtId="0" fontId="19" fillId="2" borderId="33" xfId="0" applyFont="1" applyFill="1" applyBorder="1" applyAlignment="1">
      <alignment horizontal="center" vertical="center" textRotation="255"/>
    </xf>
    <xf numFmtId="0" fontId="19" fillId="2" borderId="34" xfId="0" applyFont="1" applyFill="1" applyBorder="1" applyAlignment="1">
      <alignment horizontal="center" vertical="center" textRotation="255"/>
    </xf>
    <xf numFmtId="0" fontId="19" fillId="2" borderId="35" xfId="0" applyFont="1" applyFill="1" applyBorder="1" applyAlignment="1">
      <alignment horizontal="center" vertical="center" textRotation="255"/>
    </xf>
    <xf numFmtId="0" fontId="19" fillId="2" borderId="36" xfId="0" applyFont="1" applyFill="1" applyBorder="1" applyAlignment="1">
      <alignment horizontal="center" vertical="center" textRotation="255"/>
    </xf>
    <xf numFmtId="0" fontId="19" fillId="2" borderId="37" xfId="0" applyFont="1" applyFill="1" applyBorder="1" applyAlignment="1">
      <alignment horizontal="center" vertical="center" textRotation="255"/>
    </xf>
    <xf numFmtId="0" fontId="25" fillId="0" borderId="8" xfId="0" applyFont="1" applyBorder="1" applyAlignment="1">
      <alignment horizontal="left" vertical="top"/>
    </xf>
    <xf numFmtId="0" fontId="26" fillId="0" borderId="8" xfId="0" applyFont="1" applyBorder="1" applyAlignment="1">
      <alignment horizontal="left" vertical="top" wrapText="1"/>
    </xf>
    <xf numFmtId="0" fontId="27" fillId="0" borderId="0" xfId="0" applyFont="1" applyAlignment="1">
      <alignment horizontal="center"/>
    </xf>
    <xf numFmtId="0" fontId="22" fillId="0" borderId="0" xfId="0" applyFont="1" applyAlignment="1">
      <alignment horizontal="left" vertical="center"/>
    </xf>
    <xf numFmtId="0" fontId="19" fillId="0" borderId="31" xfId="0" applyFont="1" applyBorder="1" applyAlignment="1">
      <alignment horizontal="center" vertical="center"/>
    </xf>
    <xf numFmtId="0" fontId="19" fillId="0" borderId="30" xfId="0" applyFont="1" applyBorder="1" applyAlignment="1">
      <alignment horizontal="center" vertical="center"/>
    </xf>
    <xf numFmtId="0" fontId="19" fillId="5" borderId="39" xfId="0" applyFont="1" applyFill="1" applyBorder="1" applyAlignment="1">
      <alignment horizontal="center" vertical="center"/>
    </xf>
    <xf numFmtId="0" fontId="19" fillId="5" borderId="31" xfId="0" applyFont="1" applyFill="1" applyBorder="1" applyAlignment="1">
      <alignment horizontal="center" vertical="center"/>
    </xf>
    <xf numFmtId="0" fontId="19" fillId="5" borderId="28" xfId="0" applyFont="1" applyFill="1" applyBorder="1" applyAlignment="1">
      <alignment horizontal="center" vertical="center"/>
    </xf>
    <xf numFmtId="0" fontId="19" fillId="5" borderId="8" xfId="0" applyFont="1" applyFill="1" applyBorder="1" applyAlignment="1">
      <alignment horizontal="center" vertical="center"/>
    </xf>
    <xf numFmtId="0" fontId="19" fillId="5" borderId="29" xfId="0" applyFont="1" applyFill="1" applyBorder="1" applyAlignment="1">
      <alignment horizontal="center" vertical="center"/>
    </xf>
    <xf numFmtId="0" fontId="19" fillId="0" borderId="8" xfId="0" applyFont="1" applyBorder="1" applyAlignment="1">
      <alignment horizontal="center" vertical="center"/>
    </xf>
    <xf numFmtId="0" fontId="19" fillId="0" borderId="31" xfId="0" applyFont="1" applyBorder="1" applyAlignment="1">
      <alignment horizontal="right" vertical="center" indent="1"/>
    </xf>
    <xf numFmtId="0" fontId="19" fillId="0" borderId="30" xfId="0" applyFont="1" applyBorder="1" applyAlignment="1">
      <alignment horizontal="right" vertical="center" indent="1"/>
    </xf>
    <xf numFmtId="0" fontId="19" fillId="5" borderId="40" xfId="0" applyFont="1" applyFill="1" applyBorder="1" applyAlignment="1">
      <alignment horizontal="center" vertical="center"/>
    </xf>
    <xf numFmtId="0" fontId="19" fillId="5" borderId="41" xfId="0" applyFont="1" applyFill="1" applyBorder="1" applyAlignment="1">
      <alignment horizontal="center" vertical="center"/>
    </xf>
    <xf numFmtId="0" fontId="19" fillId="5" borderId="43" xfId="0" applyFont="1" applyFill="1" applyBorder="1" applyAlignment="1">
      <alignment horizontal="center" vertical="center"/>
    </xf>
    <xf numFmtId="0" fontId="19" fillId="5" borderId="44" xfId="0" applyFont="1" applyFill="1" applyBorder="1" applyAlignment="1">
      <alignment horizontal="center" vertical="center"/>
    </xf>
    <xf numFmtId="0" fontId="19" fillId="5" borderId="46" xfId="0" applyFont="1" applyFill="1" applyBorder="1" applyAlignment="1">
      <alignment horizontal="center" vertical="center"/>
    </xf>
    <xf numFmtId="0" fontId="19" fillId="5" borderId="47" xfId="0" applyFont="1" applyFill="1" applyBorder="1" applyAlignment="1">
      <alignment horizontal="center" vertical="center"/>
    </xf>
    <xf numFmtId="0" fontId="19" fillId="0" borderId="41" xfId="0" applyFont="1" applyBorder="1" applyAlignment="1">
      <alignment horizontal="center" vertical="center" wrapText="1"/>
    </xf>
    <xf numFmtId="0" fontId="19" fillId="0" borderId="42" xfId="0" applyFont="1" applyBorder="1" applyAlignment="1">
      <alignment horizontal="center" vertical="center" wrapText="1"/>
    </xf>
    <xf numFmtId="0" fontId="19" fillId="0" borderId="44" xfId="0" applyFont="1" applyBorder="1" applyAlignment="1">
      <alignment horizontal="center" vertical="center" wrapText="1"/>
    </xf>
    <xf numFmtId="0" fontId="19" fillId="0" borderId="45" xfId="0" applyFont="1" applyBorder="1" applyAlignment="1">
      <alignment horizontal="center" vertical="center" wrapText="1"/>
    </xf>
    <xf numFmtId="0" fontId="19" fillId="0" borderId="47" xfId="0" applyFont="1" applyBorder="1" applyAlignment="1">
      <alignment horizontal="center" vertical="center" wrapText="1"/>
    </xf>
    <xf numFmtId="0" fontId="19" fillId="0" borderId="48" xfId="0" applyFont="1" applyBorder="1" applyAlignment="1">
      <alignment horizontal="center" vertical="center" wrapText="1"/>
    </xf>
    <xf numFmtId="0" fontId="19" fillId="5" borderId="27" xfId="0" applyFont="1" applyFill="1" applyBorder="1" applyAlignment="1">
      <alignment horizontal="center" vertical="center"/>
    </xf>
    <xf numFmtId="0" fontId="19" fillId="0" borderId="28" xfId="0" quotePrefix="1" applyFont="1" applyBorder="1" applyAlignment="1">
      <alignment horizontal="center" vertical="center"/>
    </xf>
    <xf numFmtId="0" fontId="19" fillId="0" borderId="28" xfId="0" applyFont="1" applyBorder="1" applyAlignment="1">
      <alignment horizontal="center" vertical="center"/>
    </xf>
    <xf numFmtId="0" fontId="19" fillId="5" borderId="23" xfId="0" applyFont="1" applyFill="1" applyBorder="1" applyAlignment="1">
      <alignment horizontal="center" vertical="center"/>
    </xf>
    <xf numFmtId="0" fontId="19" fillId="5" borderId="14" xfId="0" applyFont="1" applyFill="1" applyBorder="1" applyAlignment="1">
      <alignment horizontal="center" vertical="center"/>
    </xf>
    <xf numFmtId="0" fontId="19" fillId="5" borderId="25" xfId="0" applyFont="1" applyFill="1" applyBorder="1" applyAlignment="1">
      <alignment horizontal="center" vertical="center"/>
    </xf>
    <xf numFmtId="0" fontId="19" fillId="5" borderId="18" xfId="0" applyFont="1" applyFill="1" applyBorder="1" applyAlignment="1">
      <alignment horizontal="center" vertical="center"/>
    </xf>
    <xf numFmtId="0" fontId="19" fillId="0" borderId="24" xfId="0" applyFont="1" applyBorder="1" applyAlignment="1">
      <alignment horizontal="center" vertical="center"/>
    </xf>
    <xf numFmtId="0" fontId="19" fillId="0" borderId="23" xfId="0" applyFont="1" applyBorder="1" applyAlignment="1">
      <alignment horizontal="center" vertical="center"/>
    </xf>
    <xf numFmtId="0" fontId="19" fillId="0" borderId="26" xfId="0" applyFont="1" applyBorder="1" applyAlignment="1">
      <alignment horizontal="center" vertical="center"/>
    </xf>
    <xf numFmtId="0" fontId="19" fillId="0" borderId="25" xfId="0" applyFont="1" applyBorder="1" applyAlignment="1">
      <alignment horizontal="center" vertical="center"/>
    </xf>
    <xf numFmtId="0" fontId="19" fillId="0" borderId="22" xfId="0" applyFont="1" applyBorder="1" applyAlignment="1">
      <alignment horizontal="center" vertical="center"/>
    </xf>
    <xf numFmtId="0" fontId="19" fillId="0" borderId="9" xfId="0" applyFont="1" applyBorder="1" applyAlignment="1">
      <alignment horizontal="center" vertical="center"/>
    </xf>
    <xf numFmtId="0" fontId="22" fillId="5" borderId="9" xfId="0" applyFont="1" applyFill="1" applyBorder="1" applyAlignment="1">
      <alignment horizontal="center" vertical="center"/>
    </xf>
    <xf numFmtId="0" fontId="22" fillId="5" borderId="10" xfId="0" applyFont="1" applyFill="1" applyBorder="1" applyAlignment="1">
      <alignment horizontal="center" vertical="center"/>
    </xf>
    <xf numFmtId="0" fontId="19" fillId="0" borderId="0" xfId="0" applyFont="1" applyAlignment="1">
      <alignment horizontal="center" vertical="center"/>
    </xf>
    <xf numFmtId="0" fontId="19" fillId="2" borderId="8" xfId="0" applyFont="1" applyFill="1" applyBorder="1" applyAlignment="1">
      <alignment horizontal="center" vertical="center" textRotation="255"/>
    </xf>
    <xf numFmtId="0" fontId="19" fillId="0" borderId="11" xfId="0" applyFont="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9" fillId="0" borderId="28" xfId="0" applyFont="1" applyBorder="1" applyAlignment="1">
      <alignment horizontal="left" vertical="top"/>
    </xf>
    <xf numFmtId="0" fontId="19" fillId="0" borderId="8" xfId="0" applyFont="1" applyBorder="1" applyAlignment="1">
      <alignment horizontal="left" vertical="top"/>
    </xf>
    <xf numFmtId="0" fontId="19" fillId="0" borderId="0" xfId="0" applyFont="1" applyAlignment="1">
      <alignment horizontal="left" vertical="center"/>
    </xf>
    <xf numFmtId="0" fontId="23" fillId="0" borderId="8" xfId="0" applyFont="1" applyBorder="1" applyAlignment="1">
      <alignment horizontal="center" vertical="center"/>
    </xf>
    <xf numFmtId="0" fontId="19" fillId="5" borderId="15" xfId="0" applyFont="1" applyFill="1" applyBorder="1" applyAlignment="1">
      <alignment horizontal="center" vertical="center"/>
    </xf>
    <xf numFmtId="0" fontId="19" fillId="5" borderId="19" xfId="0" applyFont="1" applyFill="1" applyBorder="1" applyAlignment="1">
      <alignment horizontal="center" vertical="center"/>
    </xf>
    <xf numFmtId="0" fontId="19" fillId="0" borderId="16" xfId="0" applyFont="1" applyBorder="1" applyAlignment="1">
      <alignment horizontal="center" vertical="center"/>
    </xf>
    <xf numFmtId="0" fontId="19" fillId="0" borderId="15" xfId="0" applyFont="1" applyBorder="1" applyAlignment="1">
      <alignment horizontal="center" vertical="center"/>
    </xf>
    <xf numFmtId="0" fontId="19" fillId="0" borderId="17" xfId="0" applyFont="1" applyBorder="1" applyAlignment="1">
      <alignment horizontal="center" vertical="center"/>
    </xf>
    <xf numFmtId="0" fontId="19" fillId="0" borderId="20" xfId="0" applyFont="1" applyBorder="1" applyAlignment="1">
      <alignment horizontal="center" vertical="center"/>
    </xf>
    <xf numFmtId="0" fontId="19" fillId="0" borderId="19" xfId="0" applyFont="1" applyBorder="1" applyAlignment="1">
      <alignment horizontal="center" vertical="center"/>
    </xf>
    <xf numFmtId="0" fontId="19" fillId="0" borderId="21" xfId="0" applyFont="1" applyBorder="1" applyAlignment="1">
      <alignment horizontal="center" vertical="center"/>
    </xf>
    <xf numFmtId="0" fontId="28" fillId="2" borderId="0" xfId="0" applyFont="1" applyFill="1" applyAlignment="1">
      <alignment horizontal="center" vertical="center"/>
    </xf>
    <xf numFmtId="178" fontId="19" fillId="0" borderId="15" xfId="0" applyNumberFormat="1" applyFont="1" applyBorder="1" applyAlignment="1">
      <alignment horizontal="right" vertical="center" indent="1"/>
    </xf>
    <xf numFmtId="178" fontId="19" fillId="0" borderId="17" xfId="0" applyNumberFormat="1" applyFont="1" applyBorder="1" applyAlignment="1">
      <alignment horizontal="right" vertical="center" indent="1"/>
    </xf>
    <xf numFmtId="178" fontId="19" fillId="0" borderId="19" xfId="0" applyNumberFormat="1" applyFont="1" applyBorder="1" applyAlignment="1">
      <alignment horizontal="right" vertical="center" indent="1"/>
    </xf>
    <xf numFmtId="178" fontId="19" fillId="0" borderId="21" xfId="0" applyNumberFormat="1" applyFont="1" applyBorder="1" applyAlignment="1">
      <alignment horizontal="right" vertical="center" indent="1"/>
    </xf>
    <xf numFmtId="0" fontId="22" fillId="0" borderId="38" xfId="0" applyFont="1" applyBorder="1" applyAlignment="1">
      <alignment horizontal="center" vertical="center"/>
    </xf>
    <xf numFmtId="0" fontId="19" fillId="4" borderId="15" xfId="0" applyFont="1" applyFill="1" applyBorder="1" applyAlignment="1">
      <alignment horizontal="center" vertical="center"/>
    </xf>
    <xf numFmtId="0" fontId="19" fillId="4" borderId="8" xfId="0" applyFont="1" applyFill="1" applyBorder="1" applyAlignment="1">
      <alignment horizontal="center" vertical="center"/>
    </xf>
    <xf numFmtId="0" fontId="19" fillId="4" borderId="29" xfId="0" applyFont="1" applyFill="1" applyBorder="1" applyAlignment="1">
      <alignment horizontal="center" vertical="center"/>
    </xf>
    <xf numFmtId="0" fontId="19" fillId="4" borderId="27" xfId="0" applyFont="1" applyFill="1" applyBorder="1" applyAlignment="1">
      <alignment horizontal="center" vertical="center"/>
    </xf>
    <xf numFmtId="0" fontId="19" fillId="4" borderId="31" xfId="0" applyFont="1" applyFill="1" applyBorder="1" applyAlignment="1">
      <alignment horizontal="center" vertical="center"/>
    </xf>
    <xf numFmtId="178" fontId="19" fillId="0" borderId="28" xfId="0" applyNumberFormat="1" applyFont="1" applyBorder="1" applyAlignment="1">
      <alignment horizontal="right" vertical="center" indent="1"/>
    </xf>
    <xf numFmtId="178" fontId="19" fillId="0" borderId="8" xfId="0" applyNumberFormat="1" applyFont="1" applyBorder="1" applyAlignment="1">
      <alignment horizontal="right" vertical="center" indent="1"/>
    </xf>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19" fillId="4" borderId="14" xfId="0" applyFont="1" applyFill="1" applyBorder="1" applyAlignment="1">
      <alignment horizontal="center" vertical="center"/>
    </xf>
    <xf numFmtId="178" fontId="19" fillId="0" borderId="12" xfId="0" applyNumberFormat="1" applyFont="1" applyBorder="1" applyAlignment="1">
      <alignment horizontal="right" vertical="center" indent="1"/>
    </xf>
    <xf numFmtId="178" fontId="19" fillId="0" borderId="13" xfId="0" applyNumberFormat="1" applyFont="1" applyBorder="1" applyAlignment="1">
      <alignment horizontal="right" vertical="center" indent="1"/>
    </xf>
    <xf numFmtId="0" fontId="19" fillId="4" borderId="14" xfId="0" applyFont="1" applyFill="1" applyBorder="1" applyAlignment="1">
      <alignment horizontal="center" vertical="center" textRotation="255"/>
    </xf>
    <xf numFmtId="0" fontId="19" fillId="4" borderId="15" xfId="0" applyFont="1" applyFill="1" applyBorder="1" applyAlignment="1">
      <alignment horizontal="center" vertical="center" textRotation="255"/>
    </xf>
    <xf numFmtId="0" fontId="19" fillId="4" borderId="18" xfId="0" applyFont="1" applyFill="1" applyBorder="1" applyAlignment="1">
      <alignment horizontal="center" vertical="center" textRotation="255"/>
    </xf>
    <xf numFmtId="0" fontId="19" fillId="4" borderId="19" xfId="0" applyFont="1" applyFill="1" applyBorder="1" applyAlignment="1">
      <alignment horizontal="center" vertical="center" textRotation="255"/>
    </xf>
    <xf numFmtId="0" fontId="19" fillId="3" borderId="8" xfId="0" applyFont="1" applyFill="1" applyBorder="1" applyAlignment="1">
      <alignment horizontal="center" vertical="center" textRotation="255"/>
    </xf>
    <xf numFmtId="0" fontId="19" fillId="4" borderId="19" xfId="0" applyFont="1" applyFill="1" applyBorder="1" applyAlignment="1">
      <alignment horizontal="center" vertical="center"/>
    </xf>
    <xf numFmtId="0" fontId="19" fillId="4" borderId="23" xfId="0" applyFont="1" applyFill="1" applyBorder="1" applyAlignment="1">
      <alignment horizontal="center" vertical="center"/>
    </xf>
    <xf numFmtId="0" fontId="19" fillId="4" borderId="25" xfId="0" applyFont="1" applyFill="1" applyBorder="1" applyAlignment="1">
      <alignment horizontal="center" vertical="center"/>
    </xf>
    <xf numFmtId="0" fontId="19" fillId="4" borderId="18" xfId="0" applyFont="1" applyFill="1" applyBorder="1" applyAlignment="1">
      <alignment horizontal="center" vertical="center"/>
    </xf>
    <xf numFmtId="0" fontId="22" fillId="4" borderId="9" xfId="0" applyFont="1" applyFill="1" applyBorder="1" applyAlignment="1">
      <alignment horizontal="center" vertical="center"/>
    </xf>
    <xf numFmtId="0" fontId="22" fillId="4" borderId="10" xfId="0" applyFont="1" applyFill="1" applyBorder="1" applyAlignment="1">
      <alignment horizontal="center" vertical="center"/>
    </xf>
    <xf numFmtId="0" fontId="21" fillId="3" borderId="0" xfId="0" applyFont="1" applyFill="1" applyAlignment="1">
      <alignment horizontal="center" vertical="center"/>
    </xf>
    <xf numFmtId="0" fontId="35" fillId="0" borderId="15" xfId="0" quotePrefix="1" applyFont="1" applyBorder="1" applyAlignment="1">
      <alignment horizontal="center" vertical="center"/>
    </xf>
    <xf numFmtId="0" fontId="35" fillId="0" borderId="15" xfId="0" applyFont="1" applyBorder="1" applyAlignment="1">
      <alignment horizontal="center" vertical="center"/>
    </xf>
    <xf numFmtId="0" fontId="35" fillId="0" borderId="17" xfId="0" applyFont="1" applyBorder="1" applyAlignment="1">
      <alignment horizontal="center" vertical="center"/>
    </xf>
    <xf numFmtId="0" fontId="35" fillId="0" borderId="19" xfId="0" applyFont="1" applyBorder="1" applyAlignment="1">
      <alignment horizontal="center" vertical="center"/>
    </xf>
    <xf numFmtId="0" fontId="35" fillId="0" borderId="21" xfId="0" applyFont="1" applyBorder="1" applyAlignment="1">
      <alignment horizontal="center" vertical="center"/>
    </xf>
    <xf numFmtId="0" fontId="25" fillId="0" borderId="8" xfId="0" applyFont="1" applyBorder="1" applyAlignment="1">
      <alignment horizontal="left" vertical="top" wrapText="1"/>
    </xf>
    <xf numFmtId="0" fontId="19" fillId="0" borderId="12" xfId="0" applyFont="1" applyBorder="1" applyAlignment="1">
      <alignment horizontal="right" vertical="center" indent="1"/>
    </xf>
    <xf numFmtId="0" fontId="19" fillId="0" borderId="13" xfId="0" applyFont="1" applyBorder="1" applyAlignment="1">
      <alignment horizontal="right" vertical="center" indent="1"/>
    </xf>
    <xf numFmtId="0" fontId="19" fillId="0" borderId="15" xfId="0" applyFont="1" applyBorder="1" applyAlignment="1">
      <alignment horizontal="right" vertical="center" indent="1"/>
    </xf>
    <xf numFmtId="0" fontId="19" fillId="0" borderId="17" xfId="0" applyFont="1" applyBorder="1" applyAlignment="1">
      <alignment horizontal="right" vertical="center" indent="1"/>
    </xf>
    <xf numFmtId="0" fontId="35" fillId="0" borderId="28" xfId="0" applyFont="1" applyBorder="1" applyAlignment="1">
      <alignment horizontal="left" vertical="center" indent="1"/>
    </xf>
    <xf numFmtId="0" fontId="35" fillId="0" borderId="8" xfId="0" applyFont="1" applyBorder="1" applyAlignment="1">
      <alignment horizontal="left" vertical="center" indent="1"/>
    </xf>
    <xf numFmtId="0" fontId="35" fillId="4" borderId="15" xfId="0" applyFont="1" applyFill="1" applyBorder="1" applyAlignment="1">
      <alignment horizontal="center" vertical="center"/>
    </xf>
    <xf numFmtId="0" fontId="35" fillId="4" borderId="19" xfId="0" applyFont="1" applyFill="1" applyBorder="1" applyAlignment="1">
      <alignment horizontal="center" vertical="center"/>
    </xf>
    <xf numFmtId="0" fontId="35" fillId="0" borderId="24" xfId="0" applyFont="1" applyBorder="1" applyAlignment="1">
      <alignment horizontal="left" vertical="center" indent="1"/>
    </xf>
    <xf numFmtId="0" fontId="35" fillId="0" borderId="23" xfId="0" applyFont="1" applyBorder="1" applyAlignment="1">
      <alignment horizontal="left" vertical="center" indent="1"/>
    </xf>
    <xf numFmtId="0" fontId="35" fillId="0" borderId="26" xfId="0" applyFont="1" applyBorder="1" applyAlignment="1">
      <alignment horizontal="left" vertical="center" indent="1"/>
    </xf>
    <xf numFmtId="0" fontId="35" fillId="0" borderId="25" xfId="0" applyFont="1" applyBorder="1" applyAlignment="1">
      <alignment horizontal="left" vertical="center" indent="1"/>
    </xf>
    <xf numFmtId="0" fontId="35" fillId="0" borderId="28" xfId="0" quotePrefix="1" applyFont="1" applyBorder="1" applyAlignment="1">
      <alignment horizontal="left" vertical="center" indent="1"/>
    </xf>
    <xf numFmtId="0" fontId="39" fillId="0" borderId="11" xfId="0" applyFont="1" applyBorder="1" applyAlignment="1">
      <alignment horizontal="left" vertical="center" indent="1"/>
    </xf>
    <xf numFmtId="0" fontId="39" fillId="0" borderId="12" xfId="0" applyFont="1" applyBorder="1" applyAlignment="1">
      <alignment horizontal="left" vertical="center" indent="1"/>
    </xf>
    <xf numFmtId="0" fontId="39" fillId="0" borderId="13" xfId="0" applyFont="1" applyBorder="1" applyAlignment="1">
      <alignment horizontal="left" vertical="center" indent="1"/>
    </xf>
    <xf numFmtId="0" fontId="35" fillId="0" borderId="16" xfId="0" applyFont="1" applyBorder="1" applyAlignment="1">
      <alignment horizontal="left" vertical="center" indent="1"/>
    </xf>
    <xf numFmtId="0" fontId="35" fillId="0" borderId="15" xfId="0" applyFont="1" applyBorder="1" applyAlignment="1">
      <alignment horizontal="left" vertical="center" indent="1"/>
    </xf>
    <xf numFmtId="0" fontId="35" fillId="0" borderId="17" xfId="0" applyFont="1" applyBorder="1" applyAlignment="1">
      <alignment horizontal="left" vertical="center" indent="1"/>
    </xf>
    <xf numFmtId="0" fontId="35" fillId="0" borderId="20" xfId="0" applyFont="1" applyBorder="1" applyAlignment="1">
      <alignment horizontal="left" vertical="center" indent="1"/>
    </xf>
    <xf numFmtId="0" fontId="35" fillId="0" borderId="19" xfId="0" applyFont="1" applyBorder="1" applyAlignment="1">
      <alignment horizontal="left" vertical="center" indent="1"/>
    </xf>
    <xf numFmtId="0" fontId="35" fillId="0" borderId="21" xfId="0" applyFont="1" applyBorder="1" applyAlignment="1">
      <alignment horizontal="left" vertical="center" indent="1"/>
    </xf>
    <xf numFmtId="0" fontId="39" fillId="0" borderId="22" xfId="0" applyFont="1" applyBorder="1" applyAlignment="1">
      <alignment horizontal="left" vertical="center" indent="1"/>
    </xf>
    <xf numFmtId="0" fontId="39" fillId="0" borderId="9" xfId="0" applyFont="1" applyBorder="1" applyAlignment="1">
      <alignment horizontal="left" vertical="center" indent="1"/>
    </xf>
    <xf numFmtId="0" fontId="38" fillId="0" borderId="0" xfId="0" applyFont="1" applyAlignment="1">
      <alignment horizontal="center" vertical="center"/>
    </xf>
    <xf numFmtId="0" fontId="35" fillId="0" borderId="28" xfId="0" applyFont="1" applyBorder="1" applyAlignment="1">
      <alignment horizontal="left" vertical="center" wrapText="1" indent="1"/>
    </xf>
    <xf numFmtId="0" fontId="35" fillId="0" borderId="31" xfId="0" applyFont="1" applyBorder="1" applyAlignment="1">
      <alignment horizontal="center" vertical="center"/>
    </xf>
    <xf numFmtId="0" fontId="35" fillId="0" borderId="30" xfId="0" applyFont="1" applyBorder="1" applyAlignment="1">
      <alignment horizontal="center" vertical="center"/>
    </xf>
    <xf numFmtId="0" fontId="26" fillId="0" borderId="8" xfId="0" applyFont="1" applyBorder="1" applyAlignment="1">
      <alignment horizontal="left" vertical="center" wrapText="1"/>
    </xf>
    <xf numFmtId="0" fontId="25" fillId="0" borderId="8" xfId="0" applyFont="1" applyBorder="1" applyAlignment="1">
      <alignment horizontal="left" vertical="center"/>
    </xf>
  </cellXfs>
  <cellStyles count="1">
    <cellStyle name="標準" xfId="0" builtinId="0"/>
  </cellStyles>
  <dxfs count="0"/>
  <tableStyles count="0" defaultTableStyle="TableStyleMedium2" defaultPivotStyle="PivotStyleLight16"/>
  <colors>
    <mruColors>
      <color rgb="FFFFFFCC"/>
      <color rgb="FFFAEA00"/>
      <color rgb="FF16B0BC"/>
      <color rgb="FFFAB0BC"/>
      <color rgb="FFFFCCCC"/>
      <color rgb="FFE70012"/>
      <color rgb="FFFFEBEC"/>
      <color rgb="FFF4FDFE"/>
      <color rgb="FFFFEFEF"/>
      <color rgb="FFFFE1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9525</xdr:rowOff>
    </xdr:from>
    <xdr:to>
      <xdr:col>28</xdr:col>
      <xdr:colOff>1832</xdr:colOff>
      <xdr:row>1</xdr:row>
      <xdr:rowOff>104775</xdr:rowOff>
    </xdr:to>
    <xdr:sp macro="" textlink="">
      <xdr:nvSpPr>
        <xdr:cNvPr id="11" name="直角三角形 10">
          <a:extLst>
            <a:ext uri="{FF2B5EF4-FFF2-40B4-BE49-F238E27FC236}">
              <a16:creationId xmlns:a16="http://schemas.microsoft.com/office/drawing/2014/main" id="{A66D9279-19C5-4FF8-8CFC-DFA57AD0315C}"/>
            </a:ext>
          </a:extLst>
        </xdr:cNvPr>
        <xdr:cNvSpPr/>
      </xdr:nvSpPr>
      <xdr:spPr>
        <a:xfrm rot="10800000">
          <a:off x="0" y="9525"/>
          <a:ext cx="7469432" cy="266700"/>
        </a:xfrm>
        <a:prstGeom prst="rtTriangle">
          <a:avLst/>
        </a:prstGeom>
        <a:solidFill>
          <a:srgbClr val="FAB0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27516</xdr:colOff>
      <xdr:row>46</xdr:row>
      <xdr:rowOff>120650</xdr:rowOff>
    </xdr:from>
    <xdr:to>
      <xdr:col>28</xdr:col>
      <xdr:colOff>29348</xdr:colOff>
      <xdr:row>48</xdr:row>
      <xdr:rowOff>2116</xdr:rowOff>
    </xdr:to>
    <xdr:sp macro="" textlink="">
      <xdr:nvSpPr>
        <xdr:cNvPr id="12" name="直角三角形 11">
          <a:extLst>
            <a:ext uri="{FF2B5EF4-FFF2-40B4-BE49-F238E27FC236}">
              <a16:creationId xmlns:a16="http://schemas.microsoft.com/office/drawing/2014/main" id="{48336ACC-B64D-470B-9AC4-5CA987D41F76}"/>
            </a:ext>
          </a:extLst>
        </xdr:cNvPr>
        <xdr:cNvSpPr/>
      </xdr:nvSpPr>
      <xdr:spPr>
        <a:xfrm>
          <a:off x="27516" y="9840383"/>
          <a:ext cx="7587965" cy="270933"/>
        </a:xfrm>
        <a:prstGeom prst="rtTriangle">
          <a:avLst/>
        </a:prstGeom>
        <a:solidFill>
          <a:srgbClr val="FAB0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24</xdr:col>
      <xdr:colOff>42334</xdr:colOff>
      <xdr:row>8</xdr:row>
      <xdr:rowOff>25400</xdr:rowOff>
    </xdr:from>
    <xdr:to>
      <xdr:col>27</xdr:col>
      <xdr:colOff>0</xdr:colOff>
      <xdr:row>12</xdr:row>
      <xdr:rowOff>16933</xdr:rowOff>
    </xdr:to>
    <xdr:pic>
      <xdr:nvPicPr>
        <xdr:cNvPr id="9" name="図 8">
          <a:extLst>
            <a:ext uri="{FF2B5EF4-FFF2-40B4-BE49-F238E27FC236}">
              <a16:creationId xmlns:a16="http://schemas.microsoft.com/office/drawing/2014/main" id="{E3408732-E3C1-4A4E-87C1-60DA5783E715}"/>
            </a:ext>
          </a:extLst>
        </xdr:cNvPr>
        <xdr:cNvPicPr>
          <a:picLocks noChangeAspect="1"/>
        </xdr:cNvPicPr>
      </xdr:nvPicPr>
      <xdr:blipFill>
        <a:blip xmlns:r="http://schemas.openxmlformats.org/officeDocument/2006/relationships" r:embed="rId1"/>
        <a:stretch>
          <a:fillRect/>
        </a:stretch>
      </xdr:blipFill>
      <xdr:spPr>
        <a:xfrm>
          <a:off x="6544734" y="1557867"/>
          <a:ext cx="770466" cy="770466"/>
        </a:xfrm>
        <a:prstGeom prst="rect">
          <a:avLst/>
        </a:prstGeom>
      </xdr:spPr>
    </xdr:pic>
    <xdr:clientData/>
  </xdr:twoCellAnchor>
  <xdr:twoCellAnchor editAs="oneCell">
    <xdr:from>
      <xdr:col>18</xdr:col>
      <xdr:colOff>16934</xdr:colOff>
      <xdr:row>7</xdr:row>
      <xdr:rowOff>127001</xdr:rowOff>
    </xdr:from>
    <xdr:to>
      <xdr:col>23</xdr:col>
      <xdr:colOff>177799</xdr:colOff>
      <xdr:row>10</xdr:row>
      <xdr:rowOff>88393</xdr:rowOff>
    </xdr:to>
    <xdr:pic>
      <xdr:nvPicPr>
        <xdr:cNvPr id="7" name="図 6">
          <a:extLst>
            <a:ext uri="{FF2B5EF4-FFF2-40B4-BE49-F238E27FC236}">
              <a16:creationId xmlns:a16="http://schemas.microsoft.com/office/drawing/2014/main" id="{234F3A81-8197-4E4E-938B-22531C8CA10B}"/>
            </a:ext>
          </a:extLst>
        </xdr:cNvPr>
        <xdr:cNvPicPr>
          <a:picLocks noChangeAspect="1"/>
        </xdr:cNvPicPr>
      </xdr:nvPicPr>
      <xdr:blipFill>
        <a:blip xmlns:r="http://schemas.openxmlformats.org/officeDocument/2006/relationships" r:embed="rId2"/>
        <a:stretch>
          <a:fillRect/>
        </a:stretch>
      </xdr:blipFill>
      <xdr:spPr>
        <a:xfrm>
          <a:off x="4893734" y="1464734"/>
          <a:ext cx="1515532" cy="545592"/>
        </a:xfrm>
        <a:prstGeom prst="rect">
          <a:avLst/>
        </a:prstGeom>
      </xdr:spPr>
    </xdr:pic>
    <xdr:clientData/>
  </xdr:twoCellAnchor>
  <xdr:twoCellAnchor editAs="oneCell">
    <xdr:from>
      <xdr:col>21</xdr:col>
      <xdr:colOff>135466</xdr:colOff>
      <xdr:row>44</xdr:row>
      <xdr:rowOff>8466</xdr:rowOff>
    </xdr:from>
    <xdr:to>
      <xdr:col>27</xdr:col>
      <xdr:colOff>25398</xdr:colOff>
      <xdr:row>46</xdr:row>
      <xdr:rowOff>156125</xdr:rowOff>
    </xdr:to>
    <xdr:pic>
      <xdr:nvPicPr>
        <xdr:cNvPr id="10" name="図 9">
          <a:extLst>
            <a:ext uri="{FF2B5EF4-FFF2-40B4-BE49-F238E27FC236}">
              <a16:creationId xmlns:a16="http://schemas.microsoft.com/office/drawing/2014/main" id="{5AFA59A4-D2EF-E54C-9753-8C1C8F45ED03}"/>
            </a:ext>
          </a:extLst>
        </xdr:cNvPr>
        <xdr:cNvPicPr>
          <a:picLocks noChangeAspect="1"/>
        </xdr:cNvPicPr>
      </xdr:nvPicPr>
      <xdr:blipFill>
        <a:blip xmlns:r="http://schemas.openxmlformats.org/officeDocument/2006/relationships" r:embed="rId2"/>
        <a:stretch>
          <a:fillRect/>
        </a:stretch>
      </xdr:blipFill>
      <xdr:spPr>
        <a:xfrm>
          <a:off x="5825066" y="9330266"/>
          <a:ext cx="1515532" cy="5455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28</xdr:col>
      <xdr:colOff>1832</xdr:colOff>
      <xdr:row>1</xdr:row>
      <xdr:rowOff>95250</xdr:rowOff>
    </xdr:to>
    <xdr:sp macro="" textlink="">
      <xdr:nvSpPr>
        <xdr:cNvPr id="2" name="直角三角形 1">
          <a:extLst>
            <a:ext uri="{FF2B5EF4-FFF2-40B4-BE49-F238E27FC236}">
              <a16:creationId xmlns:a16="http://schemas.microsoft.com/office/drawing/2014/main" id="{00000000-0008-0000-0500-000002000000}"/>
            </a:ext>
          </a:extLst>
        </xdr:cNvPr>
        <xdr:cNvSpPr/>
      </xdr:nvSpPr>
      <xdr:spPr>
        <a:xfrm rot="10800000">
          <a:off x="0" y="0"/>
          <a:ext cx="7469432" cy="266700"/>
        </a:xfrm>
        <a:prstGeom prst="rtTriangle">
          <a:avLst/>
        </a:prstGeom>
        <a:solidFill>
          <a:srgbClr val="FAEA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0</xdr:colOff>
      <xdr:row>0</xdr:row>
      <xdr:rowOff>0</xdr:rowOff>
    </xdr:from>
    <xdr:to>
      <xdr:col>28</xdr:col>
      <xdr:colOff>1832</xdr:colOff>
      <xdr:row>1</xdr:row>
      <xdr:rowOff>95250</xdr:rowOff>
    </xdr:to>
    <xdr:sp macro="" textlink="">
      <xdr:nvSpPr>
        <xdr:cNvPr id="3" name="直角三角形 2">
          <a:extLst>
            <a:ext uri="{FF2B5EF4-FFF2-40B4-BE49-F238E27FC236}">
              <a16:creationId xmlns:a16="http://schemas.microsoft.com/office/drawing/2014/main" id="{00000000-0008-0000-0500-000003000000}"/>
            </a:ext>
          </a:extLst>
        </xdr:cNvPr>
        <xdr:cNvSpPr/>
      </xdr:nvSpPr>
      <xdr:spPr>
        <a:xfrm rot="10800000">
          <a:off x="0" y="0"/>
          <a:ext cx="7469432" cy="266700"/>
        </a:xfrm>
        <a:prstGeom prst="rtTriangle">
          <a:avLst/>
        </a:prstGeom>
        <a:solidFill>
          <a:srgbClr val="E7001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221855</xdr:colOff>
      <xdr:row>46</xdr:row>
      <xdr:rowOff>25764</xdr:rowOff>
    </xdr:from>
    <xdr:to>
      <xdr:col>5</xdr:col>
      <xdr:colOff>140804</xdr:colOff>
      <xdr:row>49</xdr:row>
      <xdr:rowOff>145794</xdr:rowOff>
    </xdr:to>
    <xdr:pic>
      <xdr:nvPicPr>
        <xdr:cNvPr id="4" name="図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855" y="9798414"/>
          <a:ext cx="1252449" cy="662955"/>
        </a:xfrm>
        <a:prstGeom prst="rect">
          <a:avLst/>
        </a:prstGeom>
      </xdr:spPr>
    </xdr:pic>
    <xdr:clientData/>
  </xdr:twoCellAnchor>
  <xdr:twoCellAnchor editAs="oneCell">
    <xdr:from>
      <xdr:col>24</xdr:col>
      <xdr:colOff>133681</xdr:colOff>
      <xdr:row>5</xdr:row>
      <xdr:rowOff>185531</xdr:rowOff>
    </xdr:from>
    <xdr:to>
      <xdr:col>27</xdr:col>
      <xdr:colOff>127865</xdr:colOff>
      <xdr:row>10</xdr:row>
      <xdr:rowOff>28465</xdr:rowOff>
    </xdr:to>
    <xdr:pic>
      <xdr:nvPicPr>
        <xdr:cNvPr id="5" name="図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6200000">
          <a:off x="6533906" y="1119556"/>
          <a:ext cx="795434" cy="7942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55</xdr:col>
      <xdr:colOff>0</xdr:colOff>
      <xdr:row>0</xdr:row>
      <xdr:rowOff>0</xdr:rowOff>
    </xdr:from>
    <xdr:to>
      <xdr:col>63</xdr:col>
      <xdr:colOff>114891</xdr:colOff>
      <xdr:row>2</xdr:row>
      <xdr:rowOff>188162</xdr:rowOff>
    </xdr:to>
    <xdr:pic>
      <xdr:nvPicPr>
        <xdr:cNvPr id="2" name="図 1">
          <a:extLst>
            <a:ext uri="{FF2B5EF4-FFF2-40B4-BE49-F238E27FC236}">
              <a16:creationId xmlns:a16="http://schemas.microsoft.com/office/drawing/2014/main" id="{00000000-0008-0000-0A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3468" b="14199"/>
        <a:stretch/>
      </xdr:blipFill>
      <xdr:spPr>
        <a:xfrm>
          <a:off x="9429750" y="0"/>
          <a:ext cx="1486491" cy="588212"/>
        </a:xfrm>
        <a:prstGeom prst="rect">
          <a:avLst/>
        </a:prstGeom>
      </xdr:spPr>
    </xdr:pic>
    <xdr:clientData/>
  </xdr:twoCellAnchor>
  <xdr:twoCellAnchor editAs="oneCell">
    <xdr:from>
      <xdr:col>58</xdr:col>
      <xdr:colOff>38100</xdr:colOff>
      <xdr:row>36</xdr:row>
      <xdr:rowOff>74533</xdr:rowOff>
    </xdr:from>
    <xdr:to>
      <xdr:col>61</xdr:col>
      <xdr:colOff>123825</xdr:colOff>
      <xdr:row>37</xdr:row>
      <xdr:rowOff>111961</xdr:rowOff>
    </xdr:to>
    <xdr:pic>
      <xdr:nvPicPr>
        <xdr:cNvPr id="3" name="図 2">
          <a:extLst>
            <a:ext uri="{FF2B5EF4-FFF2-40B4-BE49-F238E27FC236}">
              <a16:creationId xmlns:a16="http://schemas.microsoft.com/office/drawing/2014/main" id="{00000000-0008-0000-0A00-000003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468" b="14199"/>
        <a:stretch/>
      </xdr:blipFill>
      <xdr:spPr>
        <a:xfrm>
          <a:off x="9982200" y="7475458"/>
          <a:ext cx="600075" cy="2374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55</xdr:col>
      <xdr:colOff>0</xdr:colOff>
      <xdr:row>0</xdr:row>
      <xdr:rowOff>0</xdr:rowOff>
    </xdr:from>
    <xdr:to>
      <xdr:col>63</xdr:col>
      <xdr:colOff>114891</xdr:colOff>
      <xdr:row>2</xdr:row>
      <xdr:rowOff>188162</xdr:rowOff>
    </xdr:to>
    <xdr:pic>
      <xdr:nvPicPr>
        <xdr:cNvPr id="2" name="図 1">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3468" b="14199"/>
        <a:stretch/>
      </xdr:blipFill>
      <xdr:spPr>
        <a:xfrm>
          <a:off x="9429750" y="0"/>
          <a:ext cx="1486491" cy="588212"/>
        </a:xfrm>
        <a:prstGeom prst="rect">
          <a:avLst/>
        </a:prstGeom>
      </xdr:spPr>
    </xdr:pic>
    <xdr:clientData/>
  </xdr:twoCellAnchor>
  <xdr:twoCellAnchor editAs="oneCell">
    <xdr:from>
      <xdr:col>58</xdr:col>
      <xdr:colOff>38100</xdr:colOff>
      <xdr:row>37</xdr:row>
      <xdr:rowOff>74533</xdr:rowOff>
    </xdr:from>
    <xdr:to>
      <xdr:col>61</xdr:col>
      <xdr:colOff>123825</xdr:colOff>
      <xdr:row>38</xdr:row>
      <xdr:rowOff>131011</xdr:rowOff>
    </xdr:to>
    <xdr:pic>
      <xdr:nvPicPr>
        <xdr:cNvPr id="3" name="図 2">
          <a:extLst>
            <a:ext uri="{FF2B5EF4-FFF2-40B4-BE49-F238E27FC236}">
              <a16:creationId xmlns:a16="http://schemas.microsoft.com/office/drawing/2014/main" id="{00000000-0008-0000-0B00-000003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468" b="14199"/>
        <a:stretch/>
      </xdr:blipFill>
      <xdr:spPr>
        <a:xfrm>
          <a:off x="9982200" y="6418183"/>
          <a:ext cx="600075" cy="2374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55</xdr:col>
      <xdr:colOff>0</xdr:colOff>
      <xdr:row>0</xdr:row>
      <xdr:rowOff>0</xdr:rowOff>
    </xdr:from>
    <xdr:to>
      <xdr:col>63</xdr:col>
      <xdr:colOff>114891</xdr:colOff>
      <xdr:row>2</xdr:row>
      <xdr:rowOff>188162</xdr:rowOff>
    </xdr:to>
    <xdr:pic>
      <xdr:nvPicPr>
        <xdr:cNvPr id="2" name="図 1">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3468" b="14199"/>
        <a:stretch/>
      </xdr:blipFill>
      <xdr:spPr>
        <a:xfrm>
          <a:off x="9429750" y="0"/>
          <a:ext cx="1486491" cy="588212"/>
        </a:xfrm>
        <a:prstGeom prst="rect">
          <a:avLst/>
        </a:prstGeom>
      </xdr:spPr>
    </xdr:pic>
    <xdr:clientData/>
  </xdr:twoCellAnchor>
  <xdr:twoCellAnchor editAs="oneCell">
    <xdr:from>
      <xdr:col>58</xdr:col>
      <xdr:colOff>38100</xdr:colOff>
      <xdr:row>37</xdr:row>
      <xdr:rowOff>74533</xdr:rowOff>
    </xdr:from>
    <xdr:to>
      <xdr:col>61</xdr:col>
      <xdr:colOff>123825</xdr:colOff>
      <xdr:row>38</xdr:row>
      <xdr:rowOff>131011</xdr:rowOff>
    </xdr:to>
    <xdr:pic>
      <xdr:nvPicPr>
        <xdr:cNvPr id="3" name="図 2">
          <a:extLst>
            <a:ext uri="{FF2B5EF4-FFF2-40B4-BE49-F238E27FC236}">
              <a16:creationId xmlns:a16="http://schemas.microsoft.com/office/drawing/2014/main" id="{00000000-0008-0000-0C00-000003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468" b="14199"/>
        <a:stretch/>
      </xdr:blipFill>
      <xdr:spPr>
        <a:xfrm>
          <a:off x="9982200" y="6846808"/>
          <a:ext cx="600075" cy="23745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55</xdr:col>
      <xdr:colOff>0</xdr:colOff>
      <xdr:row>0</xdr:row>
      <xdr:rowOff>0</xdr:rowOff>
    </xdr:from>
    <xdr:to>
      <xdr:col>63</xdr:col>
      <xdr:colOff>114891</xdr:colOff>
      <xdr:row>2</xdr:row>
      <xdr:rowOff>188162</xdr:rowOff>
    </xdr:to>
    <xdr:pic>
      <xdr:nvPicPr>
        <xdr:cNvPr id="2" name="図 1">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3468" b="14199"/>
        <a:stretch/>
      </xdr:blipFill>
      <xdr:spPr>
        <a:xfrm>
          <a:off x="9429750" y="0"/>
          <a:ext cx="1486491" cy="588212"/>
        </a:xfrm>
        <a:prstGeom prst="rect">
          <a:avLst/>
        </a:prstGeom>
      </xdr:spPr>
    </xdr:pic>
    <xdr:clientData/>
  </xdr:twoCellAnchor>
  <xdr:twoCellAnchor editAs="oneCell">
    <xdr:from>
      <xdr:col>58</xdr:col>
      <xdr:colOff>38100</xdr:colOff>
      <xdr:row>37</xdr:row>
      <xdr:rowOff>74533</xdr:rowOff>
    </xdr:from>
    <xdr:to>
      <xdr:col>61</xdr:col>
      <xdr:colOff>123825</xdr:colOff>
      <xdr:row>38</xdr:row>
      <xdr:rowOff>111961</xdr:rowOff>
    </xdr:to>
    <xdr:pic>
      <xdr:nvPicPr>
        <xdr:cNvPr id="3" name="図 2">
          <a:extLst>
            <a:ext uri="{FF2B5EF4-FFF2-40B4-BE49-F238E27FC236}">
              <a16:creationId xmlns:a16="http://schemas.microsoft.com/office/drawing/2014/main" id="{00000000-0008-0000-0D00-000003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468" b="14199"/>
        <a:stretch/>
      </xdr:blipFill>
      <xdr:spPr>
        <a:xfrm>
          <a:off x="9982200" y="6418183"/>
          <a:ext cx="600075" cy="237453"/>
        </a:xfrm>
        <a:prstGeom prst="rect">
          <a:avLst/>
        </a:prstGeom>
      </xdr:spPr>
    </xdr:pic>
    <xdr:clientData/>
  </xdr:twoCellAnchor>
  <xdr:twoCellAnchor editAs="oneCell">
    <xdr:from>
      <xdr:col>7</xdr:col>
      <xdr:colOff>57150</xdr:colOff>
      <xdr:row>34</xdr:row>
      <xdr:rowOff>110426</xdr:rowOff>
    </xdr:from>
    <xdr:to>
      <xdr:col>11</xdr:col>
      <xdr:colOff>66675</xdr:colOff>
      <xdr:row>38</xdr:row>
      <xdr:rowOff>38099</xdr:rowOff>
    </xdr:to>
    <xdr:pic>
      <xdr:nvPicPr>
        <xdr:cNvPr id="4" name="imgBoxImg" descr="クリックすると新しいウィンドウで開きます">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57300" y="5939726"/>
          <a:ext cx="695325" cy="727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19050</xdr:colOff>
      <xdr:row>4</xdr:row>
      <xdr:rowOff>123825</xdr:rowOff>
    </xdr:from>
    <xdr:to>
      <xdr:col>48</xdr:col>
      <xdr:colOff>9525</xdr:colOff>
      <xdr:row>8</xdr:row>
      <xdr:rowOff>114300</xdr:rowOff>
    </xdr:to>
    <xdr:sp macro="" textlink="">
      <xdr:nvSpPr>
        <xdr:cNvPr id="5" name="角丸四角形 4">
          <a:extLst>
            <a:ext uri="{FF2B5EF4-FFF2-40B4-BE49-F238E27FC236}">
              <a16:creationId xmlns:a16="http://schemas.microsoft.com/office/drawing/2014/main" id="{00000000-0008-0000-0D00-000005000000}"/>
            </a:ext>
          </a:extLst>
        </xdr:cNvPr>
        <xdr:cNvSpPr/>
      </xdr:nvSpPr>
      <xdr:spPr>
        <a:xfrm>
          <a:off x="5505450" y="809625"/>
          <a:ext cx="2733675" cy="676275"/>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002060"/>
              </a:solidFill>
              <a:latin typeface="Meiryo UI" panose="020B0604030504040204" pitchFamily="50" charset="-128"/>
              <a:ea typeface="Meiryo UI" panose="020B0604030504040204" pitchFamily="50" charset="-128"/>
            </a:rPr>
            <a:t>屋号がある際は記載頂き、ない場合は会社名と同じものを記入ください。法人化していない場合でも会社名欄に事業主名を記載ください。</a:t>
          </a:r>
          <a:endParaRPr kumimoji="1" lang="en-US" altLang="ja-JP" sz="800">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32</xdr:col>
      <xdr:colOff>142876</xdr:colOff>
      <xdr:row>10</xdr:row>
      <xdr:rowOff>142876</xdr:rowOff>
    </xdr:from>
    <xdr:to>
      <xdr:col>42</xdr:col>
      <xdr:colOff>104775</xdr:colOff>
      <xdr:row>12</xdr:row>
      <xdr:rowOff>66676</xdr:rowOff>
    </xdr:to>
    <xdr:sp macro="" textlink="">
      <xdr:nvSpPr>
        <xdr:cNvPr id="6" name="角丸四角形 5">
          <a:extLst>
            <a:ext uri="{FF2B5EF4-FFF2-40B4-BE49-F238E27FC236}">
              <a16:creationId xmlns:a16="http://schemas.microsoft.com/office/drawing/2014/main" id="{00000000-0008-0000-0D00-000006000000}"/>
            </a:ext>
          </a:extLst>
        </xdr:cNvPr>
        <xdr:cNvSpPr/>
      </xdr:nvSpPr>
      <xdr:spPr>
        <a:xfrm>
          <a:off x="5629276" y="1857376"/>
          <a:ext cx="1676399" cy="26670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002060"/>
              </a:solidFill>
              <a:latin typeface="Meiryo UI" panose="020B0604030504040204" pitchFamily="50" charset="-128"/>
              <a:ea typeface="Meiryo UI" panose="020B0604030504040204" pitchFamily="50" charset="-128"/>
            </a:rPr>
            <a:t>ビル名・部屋番号まで記載ください。</a:t>
          </a:r>
          <a:endParaRPr kumimoji="1" lang="en-US" altLang="ja-JP" sz="800">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52</xdr:col>
      <xdr:colOff>28575</xdr:colOff>
      <xdr:row>16</xdr:row>
      <xdr:rowOff>112059</xdr:rowOff>
    </xdr:from>
    <xdr:to>
      <xdr:col>62</xdr:col>
      <xdr:colOff>145676</xdr:colOff>
      <xdr:row>20</xdr:row>
      <xdr:rowOff>161925</xdr:rowOff>
    </xdr:to>
    <xdr:sp macro="" textlink="">
      <xdr:nvSpPr>
        <xdr:cNvPr id="7" name="角丸四角形 6">
          <a:extLst>
            <a:ext uri="{FF2B5EF4-FFF2-40B4-BE49-F238E27FC236}">
              <a16:creationId xmlns:a16="http://schemas.microsoft.com/office/drawing/2014/main" id="{00000000-0008-0000-0D00-000007000000}"/>
            </a:ext>
          </a:extLst>
        </xdr:cNvPr>
        <xdr:cNvSpPr/>
      </xdr:nvSpPr>
      <xdr:spPr>
        <a:xfrm>
          <a:off x="8769163" y="3339353"/>
          <a:ext cx="1797984" cy="85669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002060"/>
              </a:solidFill>
              <a:latin typeface="Meiryo UI" panose="020B0604030504040204" pitchFamily="50" charset="-128"/>
              <a:ea typeface="Meiryo UI" panose="020B0604030504040204" pitchFamily="50" charset="-128"/>
            </a:rPr>
            <a:t>役務提供日はアフィリエイトサービス開始日になり、サービス提供期間の起算日となります。翌々月以降の</a:t>
          </a:r>
          <a:r>
            <a:rPr kumimoji="1" lang="en-US" altLang="ja-JP" sz="800">
              <a:solidFill>
                <a:srgbClr val="002060"/>
              </a:solidFill>
              <a:latin typeface="Meiryo UI" panose="020B0604030504040204" pitchFamily="50" charset="-128"/>
              <a:ea typeface="Meiryo UI" panose="020B0604030504040204" pitchFamily="50" charset="-128"/>
            </a:rPr>
            <a:t>1</a:t>
          </a:r>
          <a:r>
            <a:rPr kumimoji="1" lang="ja-JP" altLang="en-US" sz="800">
              <a:solidFill>
                <a:srgbClr val="002060"/>
              </a:solidFill>
              <a:latin typeface="Meiryo UI" panose="020B0604030504040204" pitchFamily="50" charset="-128"/>
              <a:ea typeface="Meiryo UI" panose="020B0604030504040204" pitchFamily="50" charset="-128"/>
            </a:rPr>
            <a:t>日をお選びください。</a:t>
          </a:r>
          <a:endParaRPr kumimoji="1" lang="en-US" altLang="ja-JP" sz="800">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52</xdr:col>
      <xdr:colOff>28575</xdr:colOff>
      <xdr:row>29</xdr:row>
      <xdr:rowOff>47626</xdr:rowOff>
    </xdr:from>
    <xdr:to>
      <xdr:col>61</xdr:col>
      <xdr:colOff>161925</xdr:colOff>
      <xdr:row>32</xdr:row>
      <xdr:rowOff>47625</xdr:rowOff>
    </xdr:to>
    <xdr:sp macro="" textlink="">
      <xdr:nvSpPr>
        <xdr:cNvPr id="8" name="角丸四角形 7">
          <a:extLst>
            <a:ext uri="{FF2B5EF4-FFF2-40B4-BE49-F238E27FC236}">
              <a16:creationId xmlns:a16="http://schemas.microsoft.com/office/drawing/2014/main" id="{00000000-0008-0000-0D00-000008000000}"/>
            </a:ext>
          </a:extLst>
        </xdr:cNvPr>
        <xdr:cNvSpPr/>
      </xdr:nvSpPr>
      <xdr:spPr>
        <a:xfrm>
          <a:off x="8943975" y="5019676"/>
          <a:ext cx="1676400" cy="514349"/>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002060"/>
              </a:solidFill>
              <a:latin typeface="Meiryo UI" panose="020B0604030504040204" pitchFamily="50" charset="-128"/>
              <a:ea typeface="Meiryo UI" panose="020B0604030504040204" pitchFamily="50" charset="-128"/>
            </a:rPr>
            <a:t>全項目に同意頂き、確認のチェックを頂いてください。</a:t>
          </a:r>
          <a:endParaRPr kumimoji="1" lang="en-US" altLang="ja-JP" sz="800">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32</xdr:col>
      <xdr:colOff>95249</xdr:colOff>
      <xdr:row>34</xdr:row>
      <xdr:rowOff>134470</xdr:rowOff>
    </xdr:from>
    <xdr:to>
      <xdr:col>42</xdr:col>
      <xdr:colOff>78440</xdr:colOff>
      <xdr:row>38</xdr:row>
      <xdr:rowOff>95249</xdr:rowOff>
    </xdr:to>
    <xdr:sp macro="" textlink="">
      <xdr:nvSpPr>
        <xdr:cNvPr id="9" name="角丸四角形 8">
          <a:extLst>
            <a:ext uri="{FF2B5EF4-FFF2-40B4-BE49-F238E27FC236}">
              <a16:creationId xmlns:a16="http://schemas.microsoft.com/office/drawing/2014/main" id="{00000000-0008-0000-0D00-000009000000}"/>
            </a:ext>
          </a:extLst>
        </xdr:cNvPr>
        <xdr:cNvSpPr/>
      </xdr:nvSpPr>
      <xdr:spPr>
        <a:xfrm>
          <a:off x="5474073" y="6992470"/>
          <a:ext cx="1664073" cy="76760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002060"/>
              </a:solidFill>
              <a:latin typeface="Meiryo UI" panose="020B0604030504040204" pitchFamily="50" charset="-128"/>
              <a:ea typeface="Meiryo UI" panose="020B0604030504040204" pitchFamily="50" charset="-128"/>
            </a:rPr>
            <a:t>代理店名、担当者名を記載ください。個人事業主の場合は、個人名を記載ください。</a:t>
          </a:r>
          <a:endParaRPr kumimoji="1" lang="en-US" altLang="ja-JP" sz="800">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0</xdr:col>
      <xdr:colOff>142875</xdr:colOff>
      <xdr:row>35</xdr:row>
      <xdr:rowOff>114300</xdr:rowOff>
    </xdr:from>
    <xdr:to>
      <xdr:col>5</xdr:col>
      <xdr:colOff>112059</xdr:colOff>
      <xdr:row>38</xdr:row>
      <xdr:rowOff>44823</xdr:rowOff>
    </xdr:to>
    <xdr:sp macro="" textlink="">
      <xdr:nvSpPr>
        <xdr:cNvPr id="10" name="角丸四角形 9">
          <a:extLst>
            <a:ext uri="{FF2B5EF4-FFF2-40B4-BE49-F238E27FC236}">
              <a16:creationId xmlns:a16="http://schemas.microsoft.com/office/drawing/2014/main" id="{00000000-0008-0000-0D00-00000A000000}"/>
            </a:ext>
          </a:extLst>
        </xdr:cNvPr>
        <xdr:cNvSpPr/>
      </xdr:nvSpPr>
      <xdr:spPr>
        <a:xfrm>
          <a:off x="142875" y="7174006"/>
          <a:ext cx="809625" cy="535641"/>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002060"/>
              </a:solidFill>
              <a:latin typeface="Meiryo UI" panose="020B0604030504040204" pitchFamily="50" charset="-128"/>
              <a:ea typeface="Meiryo UI" panose="020B0604030504040204" pitchFamily="50" charset="-128"/>
            </a:rPr>
            <a:t>捨印を頂いてください。</a:t>
          </a:r>
          <a:endParaRPr kumimoji="1" lang="en-US" altLang="ja-JP" sz="800">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12</xdr:col>
      <xdr:colOff>161925</xdr:colOff>
      <xdr:row>34</xdr:row>
      <xdr:rowOff>133350</xdr:rowOff>
    </xdr:from>
    <xdr:to>
      <xdr:col>23</xdr:col>
      <xdr:colOff>67237</xdr:colOff>
      <xdr:row>38</xdr:row>
      <xdr:rowOff>44823</xdr:rowOff>
    </xdr:to>
    <xdr:sp macro="" textlink="">
      <xdr:nvSpPr>
        <xdr:cNvPr id="11" name="角丸四角形 10">
          <a:extLst>
            <a:ext uri="{FF2B5EF4-FFF2-40B4-BE49-F238E27FC236}">
              <a16:creationId xmlns:a16="http://schemas.microsoft.com/office/drawing/2014/main" id="{00000000-0008-0000-0D00-00000B000000}"/>
            </a:ext>
          </a:extLst>
        </xdr:cNvPr>
        <xdr:cNvSpPr/>
      </xdr:nvSpPr>
      <xdr:spPr>
        <a:xfrm>
          <a:off x="2178984" y="6991350"/>
          <a:ext cx="1754282" cy="718297"/>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002060"/>
              </a:solidFill>
              <a:latin typeface="Meiryo UI" panose="020B0604030504040204" pitchFamily="50" charset="-128"/>
              <a:ea typeface="Meiryo UI" panose="020B0604030504040204" pitchFamily="50" charset="-128"/>
            </a:rPr>
            <a:t>割引適用の場合は割引金額を「</a:t>
          </a:r>
          <a:r>
            <a:rPr kumimoji="1" lang="en-US" altLang="ja-JP" sz="800">
              <a:solidFill>
                <a:srgbClr val="002060"/>
              </a:solidFill>
              <a:latin typeface="Meiryo UI" panose="020B0604030504040204" pitchFamily="50" charset="-128"/>
              <a:ea typeface="Meiryo UI" panose="020B0604030504040204" pitchFamily="50" charset="-128"/>
            </a:rPr>
            <a:t>-</a:t>
          </a:r>
          <a:r>
            <a:rPr kumimoji="1" lang="ja-JP" altLang="en-US" sz="800">
              <a:solidFill>
                <a:srgbClr val="002060"/>
              </a:solidFill>
              <a:latin typeface="Meiryo UI" panose="020B0604030504040204" pitchFamily="50" charset="-128"/>
              <a:ea typeface="Meiryo UI" panose="020B0604030504040204" pitchFamily="50" charset="-128"/>
            </a:rPr>
            <a:t>」で記載し、上の初期費用合計に合計金額を記載ください。</a:t>
          </a:r>
          <a:endParaRPr kumimoji="1" lang="en-US" altLang="ja-JP" sz="800">
            <a:solidFill>
              <a:srgbClr val="002060"/>
            </a:solidFill>
            <a:latin typeface="Meiryo UI" panose="020B0604030504040204" pitchFamily="50" charset="-128"/>
            <a:ea typeface="Meiryo UI" panose="020B0604030504040204" pitchFamily="50" charset="-128"/>
          </a:endParaRPr>
        </a:p>
      </xdr:txBody>
    </xdr:sp>
    <xdr:clientData/>
  </xdr:twoCellAnchor>
  <xdr:twoCellAnchor editAs="oneCell">
    <xdr:from>
      <xdr:col>58</xdr:col>
      <xdr:colOff>28575</xdr:colOff>
      <xdr:row>4</xdr:row>
      <xdr:rowOff>167576</xdr:rowOff>
    </xdr:from>
    <xdr:to>
      <xdr:col>62</xdr:col>
      <xdr:colOff>38100</xdr:colOff>
      <xdr:row>8</xdr:row>
      <xdr:rowOff>95249</xdr:rowOff>
    </xdr:to>
    <xdr:pic>
      <xdr:nvPicPr>
        <xdr:cNvPr id="12" name="imgBoxImg" descr="クリックすると新しいウィンドウで開きます">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72675" y="853376"/>
          <a:ext cx="695325" cy="727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55</xdr:col>
      <xdr:colOff>0</xdr:colOff>
      <xdr:row>0</xdr:row>
      <xdr:rowOff>0</xdr:rowOff>
    </xdr:from>
    <xdr:to>
      <xdr:col>63</xdr:col>
      <xdr:colOff>114891</xdr:colOff>
      <xdr:row>2</xdr:row>
      <xdr:rowOff>188162</xdr:rowOff>
    </xdr:to>
    <xdr:pic>
      <xdr:nvPicPr>
        <xdr:cNvPr id="2" name="図 1">
          <a:extLst>
            <a:ext uri="{FF2B5EF4-FFF2-40B4-BE49-F238E27FC236}">
              <a16:creationId xmlns:a16="http://schemas.microsoft.com/office/drawing/2014/main" id="{00000000-0008-0000-0E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3468" b="14199"/>
        <a:stretch/>
      </xdr:blipFill>
      <xdr:spPr>
        <a:xfrm>
          <a:off x="9429750" y="0"/>
          <a:ext cx="1486491" cy="588212"/>
        </a:xfrm>
        <a:prstGeom prst="rect">
          <a:avLst/>
        </a:prstGeom>
      </xdr:spPr>
    </xdr:pic>
    <xdr:clientData/>
  </xdr:twoCellAnchor>
  <xdr:twoCellAnchor editAs="oneCell">
    <xdr:from>
      <xdr:col>58</xdr:col>
      <xdr:colOff>38100</xdr:colOff>
      <xdr:row>36</xdr:row>
      <xdr:rowOff>74533</xdr:rowOff>
    </xdr:from>
    <xdr:to>
      <xdr:col>61</xdr:col>
      <xdr:colOff>123825</xdr:colOff>
      <xdr:row>37</xdr:row>
      <xdr:rowOff>111961</xdr:rowOff>
    </xdr:to>
    <xdr:pic>
      <xdr:nvPicPr>
        <xdr:cNvPr id="3" name="図 2">
          <a:extLst>
            <a:ext uri="{FF2B5EF4-FFF2-40B4-BE49-F238E27FC236}">
              <a16:creationId xmlns:a16="http://schemas.microsoft.com/office/drawing/2014/main" id="{00000000-0008-0000-0E00-000003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468" b="14199"/>
        <a:stretch/>
      </xdr:blipFill>
      <xdr:spPr>
        <a:xfrm>
          <a:off x="9982200" y="6665833"/>
          <a:ext cx="600075" cy="237453"/>
        </a:xfrm>
        <a:prstGeom prst="rect">
          <a:avLst/>
        </a:prstGeom>
      </xdr:spPr>
    </xdr:pic>
    <xdr:clientData/>
  </xdr:twoCellAnchor>
  <xdr:twoCellAnchor>
    <xdr:from>
      <xdr:col>32</xdr:col>
      <xdr:colOff>19050</xdr:colOff>
      <xdr:row>4</xdr:row>
      <xdr:rowOff>123825</xdr:rowOff>
    </xdr:from>
    <xdr:to>
      <xdr:col>48</xdr:col>
      <xdr:colOff>9525</xdr:colOff>
      <xdr:row>8</xdr:row>
      <xdr:rowOff>114300</xdr:rowOff>
    </xdr:to>
    <xdr:sp macro="" textlink="">
      <xdr:nvSpPr>
        <xdr:cNvPr id="4" name="角丸四角形 3">
          <a:extLst>
            <a:ext uri="{FF2B5EF4-FFF2-40B4-BE49-F238E27FC236}">
              <a16:creationId xmlns:a16="http://schemas.microsoft.com/office/drawing/2014/main" id="{00000000-0008-0000-0E00-000004000000}"/>
            </a:ext>
          </a:extLst>
        </xdr:cNvPr>
        <xdr:cNvSpPr/>
      </xdr:nvSpPr>
      <xdr:spPr>
        <a:xfrm>
          <a:off x="5505450" y="923925"/>
          <a:ext cx="2733675" cy="790575"/>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002060"/>
              </a:solidFill>
              <a:latin typeface="Meiryo UI" panose="020B0604030504040204" pitchFamily="50" charset="-128"/>
              <a:ea typeface="Meiryo UI" panose="020B0604030504040204" pitchFamily="50" charset="-128"/>
            </a:rPr>
            <a:t>屋号がある際は記載頂き、ない場合は会社名と同じものを記入ください。法人化していない場合でも会社名欄に事業主名を記載ください。</a:t>
          </a:r>
          <a:endParaRPr kumimoji="1" lang="en-US" altLang="ja-JP" sz="800">
            <a:solidFill>
              <a:srgbClr val="002060"/>
            </a:solidFill>
            <a:latin typeface="Meiryo UI" panose="020B0604030504040204" pitchFamily="50" charset="-128"/>
            <a:ea typeface="Meiryo UI" panose="020B0604030504040204" pitchFamily="50" charset="-128"/>
          </a:endParaRPr>
        </a:p>
      </xdr:txBody>
    </xdr:sp>
    <xdr:clientData/>
  </xdr:twoCellAnchor>
  <xdr:twoCellAnchor editAs="oneCell">
    <xdr:from>
      <xdr:col>58</xdr:col>
      <xdr:colOff>28575</xdr:colOff>
      <xdr:row>5</xdr:row>
      <xdr:rowOff>0</xdr:rowOff>
    </xdr:from>
    <xdr:to>
      <xdr:col>62</xdr:col>
      <xdr:colOff>24653</xdr:colOff>
      <xdr:row>9</xdr:row>
      <xdr:rowOff>10596</xdr:rowOff>
    </xdr:to>
    <xdr:pic>
      <xdr:nvPicPr>
        <xdr:cNvPr id="6" name="imgBoxImg" descr="クリックすると新しいウィンドウで開きます">
          <a:extLst>
            <a:ext uri="{FF2B5EF4-FFF2-40B4-BE49-F238E27FC236}">
              <a16:creationId xmlns:a16="http://schemas.microsoft.com/office/drawing/2014/main" id="{00000000-0008-0000-0E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72675" y="981075"/>
          <a:ext cx="681878" cy="7344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142876</xdr:colOff>
      <xdr:row>10</xdr:row>
      <xdr:rowOff>142876</xdr:rowOff>
    </xdr:from>
    <xdr:to>
      <xdr:col>42</xdr:col>
      <xdr:colOff>104775</xdr:colOff>
      <xdr:row>12</xdr:row>
      <xdr:rowOff>66676</xdr:rowOff>
    </xdr:to>
    <xdr:sp macro="" textlink="">
      <xdr:nvSpPr>
        <xdr:cNvPr id="7" name="角丸四角形 6">
          <a:extLst>
            <a:ext uri="{FF2B5EF4-FFF2-40B4-BE49-F238E27FC236}">
              <a16:creationId xmlns:a16="http://schemas.microsoft.com/office/drawing/2014/main" id="{00000000-0008-0000-0E00-000007000000}"/>
            </a:ext>
          </a:extLst>
        </xdr:cNvPr>
        <xdr:cNvSpPr/>
      </xdr:nvSpPr>
      <xdr:spPr>
        <a:xfrm>
          <a:off x="5629276" y="2143126"/>
          <a:ext cx="1676399" cy="32385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002060"/>
              </a:solidFill>
              <a:latin typeface="Meiryo UI" panose="020B0604030504040204" pitchFamily="50" charset="-128"/>
              <a:ea typeface="Meiryo UI" panose="020B0604030504040204" pitchFamily="50" charset="-128"/>
            </a:rPr>
            <a:t>ビル名・部屋番号まで記載ください。</a:t>
          </a:r>
          <a:endParaRPr kumimoji="1" lang="en-US" altLang="ja-JP" sz="800">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52</xdr:col>
      <xdr:colOff>161925</xdr:colOff>
      <xdr:row>16</xdr:row>
      <xdr:rowOff>104775</xdr:rowOff>
    </xdr:from>
    <xdr:to>
      <xdr:col>63</xdr:col>
      <xdr:colOff>66675</xdr:colOff>
      <xdr:row>20</xdr:row>
      <xdr:rowOff>85725</xdr:rowOff>
    </xdr:to>
    <xdr:sp macro="" textlink="">
      <xdr:nvSpPr>
        <xdr:cNvPr id="8" name="角丸四角形 7">
          <a:extLst>
            <a:ext uri="{FF2B5EF4-FFF2-40B4-BE49-F238E27FC236}">
              <a16:creationId xmlns:a16="http://schemas.microsoft.com/office/drawing/2014/main" id="{00000000-0008-0000-0E00-000008000000}"/>
            </a:ext>
          </a:extLst>
        </xdr:cNvPr>
        <xdr:cNvSpPr/>
      </xdr:nvSpPr>
      <xdr:spPr>
        <a:xfrm>
          <a:off x="9077325" y="3076575"/>
          <a:ext cx="1790700" cy="70485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002060"/>
              </a:solidFill>
              <a:latin typeface="Meiryo UI" panose="020B0604030504040204" pitchFamily="50" charset="-128"/>
              <a:ea typeface="Meiryo UI" panose="020B0604030504040204" pitchFamily="50" charset="-128"/>
            </a:rPr>
            <a:t>役務提供日は掲載の開始される日付です。申込日より</a:t>
          </a:r>
          <a:r>
            <a:rPr kumimoji="1" lang="en-US" altLang="ja-JP" sz="800">
              <a:solidFill>
                <a:srgbClr val="002060"/>
              </a:solidFill>
              <a:latin typeface="Meiryo UI" panose="020B0604030504040204" pitchFamily="50" charset="-128"/>
              <a:ea typeface="Meiryo UI" panose="020B0604030504040204" pitchFamily="50" charset="-128"/>
            </a:rPr>
            <a:t>5</a:t>
          </a:r>
          <a:r>
            <a:rPr kumimoji="1" lang="ja-JP" altLang="en-US" sz="800">
              <a:solidFill>
                <a:srgbClr val="002060"/>
              </a:solidFill>
              <a:latin typeface="Meiryo UI" panose="020B0604030504040204" pitchFamily="50" charset="-128"/>
              <a:ea typeface="Meiryo UI" panose="020B0604030504040204" pitchFamily="50" charset="-128"/>
            </a:rPr>
            <a:t>営業日以降、かつ入金日以降の日付を指定ください。</a:t>
          </a:r>
          <a:endParaRPr kumimoji="1" lang="en-US" altLang="ja-JP" sz="800">
            <a:solidFill>
              <a:srgbClr val="002060"/>
            </a:solidFill>
            <a:latin typeface="Meiryo UI" panose="020B0604030504040204" pitchFamily="50" charset="-128"/>
            <a:ea typeface="Meiryo UI" panose="020B0604030504040204" pitchFamily="50" charset="-128"/>
          </a:endParaRPr>
        </a:p>
      </xdr:txBody>
    </xdr:sp>
    <xdr:clientData/>
  </xdr:twoCellAnchor>
  <xdr:twoCellAnchor editAs="oneCell">
    <xdr:from>
      <xdr:col>6</xdr:col>
      <xdr:colOff>119343</xdr:colOff>
      <xdr:row>33</xdr:row>
      <xdr:rowOff>66675</xdr:rowOff>
    </xdr:from>
    <xdr:to>
      <xdr:col>10</xdr:col>
      <xdr:colOff>115421</xdr:colOff>
      <xdr:row>37</xdr:row>
      <xdr:rowOff>58222</xdr:rowOff>
    </xdr:to>
    <xdr:pic>
      <xdr:nvPicPr>
        <xdr:cNvPr id="9" name="imgBoxImg" descr="クリックすると新しいウィンドウで開きます">
          <a:extLst>
            <a:ext uri="{FF2B5EF4-FFF2-40B4-BE49-F238E27FC236}">
              <a16:creationId xmlns:a16="http://schemas.microsoft.com/office/drawing/2014/main" id="{00000000-0008-0000-0E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48043" y="6115050"/>
          <a:ext cx="681878" cy="734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34</xdr:row>
      <xdr:rowOff>91281</xdr:rowOff>
    </xdr:from>
    <xdr:to>
      <xdr:col>5</xdr:col>
      <xdr:colOff>11766</xdr:colOff>
      <xdr:row>37</xdr:row>
      <xdr:rowOff>85726</xdr:rowOff>
    </xdr:to>
    <xdr:sp macro="" textlink="">
      <xdr:nvSpPr>
        <xdr:cNvPr id="10" name="角丸四角形 9">
          <a:extLst>
            <a:ext uri="{FF2B5EF4-FFF2-40B4-BE49-F238E27FC236}">
              <a16:creationId xmlns:a16="http://schemas.microsoft.com/office/drawing/2014/main" id="{00000000-0008-0000-0E00-00000A000000}"/>
            </a:ext>
          </a:extLst>
        </xdr:cNvPr>
        <xdr:cNvSpPr/>
      </xdr:nvSpPr>
      <xdr:spPr>
        <a:xfrm>
          <a:off x="57150" y="6320631"/>
          <a:ext cx="811866" cy="55642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002060"/>
              </a:solidFill>
              <a:latin typeface="Meiryo UI" panose="020B0604030504040204" pitchFamily="50" charset="-128"/>
              <a:ea typeface="Meiryo UI" panose="020B0604030504040204" pitchFamily="50" charset="-128"/>
            </a:rPr>
            <a:t>捨印を頂いてください。</a:t>
          </a:r>
          <a:endParaRPr kumimoji="1" lang="en-US" altLang="ja-JP" sz="800">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12</xdr:col>
      <xdr:colOff>35858</xdr:colOff>
      <xdr:row>33</xdr:row>
      <xdr:rowOff>89599</xdr:rowOff>
    </xdr:from>
    <xdr:to>
      <xdr:col>22</xdr:col>
      <xdr:colOff>94129</xdr:colOff>
      <xdr:row>37</xdr:row>
      <xdr:rowOff>66675</xdr:rowOff>
    </xdr:to>
    <xdr:sp macro="" textlink="">
      <xdr:nvSpPr>
        <xdr:cNvPr id="11" name="角丸四角形 10">
          <a:extLst>
            <a:ext uri="{FF2B5EF4-FFF2-40B4-BE49-F238E27FC236}">
              <a16:creationId xmlns:a16="http://schemas.microsoft.com/office/drawing/2014/main" id="{00000000-0008-0000-0E00-00000B000000}"/>
            </a:ext>
          </a:extLst>
        </xdr:cNvPr>
        <xdr:cNvSpPr/>
      </xdr:nvSpPr>
      <xdr:spPr>
        <a:xfrm>
          <a:off x="2093258" y="6137974"/>
          <a:ext cx="1772771" cy="720026"/>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002060"/>
              </a:solidFill>
              <a:latin typeface="Meiryo UI" panose="020B0604030504040204" pitchFamily="50" charset="-128"/>
              <a:ea typeface="Meiryo UI" panose="020B0604030504040204" pitchFamily="50" charset="-128"/>
            </a:rPr>
            <a:t>特約事項の記載は、都度弊社のほうでご提案致しますキャンペーン内容などに沿って記載ください。</a:t>
          </a:r>
          <a:endParaRPr kumimoji="1" lang="en-US" altLang="ja-JP" sz="800">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32</xdr:col>
      <xdr:colOff>123825</xdr:colOff>
      <xdr:row>33</xdr:row>
      <xdr:rowOff>123825</xdr:rowOff>
    </xdr:from>
    <xdr:to>
      <xdr:col>42</xdr:col>
      <xdr:colOff>123825</xdr:colOff>
      <xdr:row>37</xdr:row>
      <xdr:rowOff>44823</xdr:rowOff>
    </xdr:to>
    <xdr:sp macro="" textlink="">
      <xdr:nvSpPr>
        <xdr:cNvPr id="13" name="角丸四角形 12">
          <a:extLst>
            <a:ext uri="{FF2B5EF4-FFF2-40B4-BE49-F238E27FC236}">
              <a16:creationId xmlns:a16="http://schemas.microsoft.com/office/drawing/2014/main" id="{00000000-0008-0000-0E00-00000D000000}"/>
            </a:ext>
          </a:extLst>
        </xdr:cNvPr>
        <xdr:cNvSpPr/>
      </xdr:nvSpPr>
      <xdr:spPr>
        <a:xfrm>
          <a:off x="5610225" y="6172200"/>
          <a:ext cx="1714500" cy="66394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002060"/>
              </a:solidFill>
              <a:latin typeface="Meiryo UI" panose="020B0604030504040204" pitchFamily="50" charset="-128"/>
              <a:ea typeface="Meiryo UI" panose="020B0604030504040204" pitchFamily="50" charset="-128"/>
            </a:rPr>
            <a:t>代理店名、担当者名を記載ください。個人事業主の場合は、個人名を記載ください。</a:t>
          </a:r>
          <a:endParaRPr kumimoji="1" lang="en-US" altLang="ja-JP" sz="800">
            <a:solidFill>
              <a:srgbClr val="002060"/>
            </a:solidFill>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C52"/>
  <sheetViews>
    <sheetView showGridLines="0" tabSelected="1" view="pageBreakPreview" zoomScale="150" zoomScaleNormal="40" zoomScaleSheetLayoutView="150" workbookViewId="0">
      <selection activeCell="AX7" sqref="AX7"/>
    </sheetView>
  </sheetViews>
  <sheetFormatPr baseColWidth="10" defaultColWidth="1.6640625" defaultRowHeight="14"/>
  <cols>
    <col min="1" max="29" width="3.5" customWidth="1"/>
  </cols>
  <sheetData>
    <row r="1" spans="1:29" ht="13.5" customHeight="1">
      <c r="A1" s="20"/>
      <c r="B1" s="20"/>
      <c r="C1" s="20"/>
      <c r="D1" s="20"/>
      <c r="E1" s="20"/>
      <c r="F1" s="20"/>
      <c r="G1" s="20"/>
      <c r="H1" s="20"/>
      <c r="I1" s="26"/>
      <c r="J1" s="26"/>
      <c r="K1" s="26"/>
      <c r="L1" s="26"/>
      <c r="M1" s="26"/>
      <c r="N1" s="26"/>
      <c r="O1" s="26"/>
      <c r="P1" s="26"/>
      <c r="Q1" s="26"/>
      <c r="R1" s="26"/>
      <c r="S1" s="26"/>
      <c r="T1" s="26"/>
      <c r="U1" s="9"/>
      <c r="V1" s="29" t="e">
        <f>IF(#REF!="","","発行番号")</f>
        <v>#REF!</v>
      </c>
      <c r="W1" s="29"/>
      <c r="X1" s="29"/>
      <c r="Y1" s="85" t="e">
        <f>IF(#REF!="","",#REF!)</f>
        <v>#REF!</v>
      </c>
      <c r="Z1" s="85"/>
      <c r="AA1" s="85"/>
      <c r="AB1" s="85"/>
    </row>
    <row r="2" spans="1:29" ht="15" customHeight="1">
      <c r="A2" s="20"/>
      <c r="B2" s="20"/>
      <c r="C2" s="20"/>
      <c r="D2" s="20"/>
      <c r="E2" s="20"/>
      <c r="F2" s="20"/>
      <c r="G2" s="20"/>
      <c r="I2" s="26"/>
      <c r="J2" s="26"/>
      <c r="K2" s="26"/>
      <c r="L2" s="26"/>
      <c r="M2" s="26"/>
      <c r="N2" s="26"/>
      <c r="O2" s="26"/>
      <c r="P2" s="26"/>
      <c r="Q2" s="26"/>
      <c r="R2" s="26"/>
      <c r="S2" s="26"/>
      <c r="T2" s="26"/>
      <c r="U2" s="23"/>
      <c r="V2" s="9"/>
      <c r="W2" s="9"/>
      <c r="X2" s="22"/>
      <c r="Y2" s="22"/>
      <c r="Z2" s="22"/>
      <c r="AA2" s="22"/>
      <c r="AB2" s="1"/>
    </row>
    <row r="3" spans="1:29" ht="15" customHeight="1">
      <c r="A3" s="20"/>
      <c r="B3" s="20"/>
      <c r="C3" s="20"/>
      <c r="D3" s="20"/>
      <c r="E3" s="20"/>
      <c r="F3" s="20"/>
      <c r="G3" s="20"/>
      <c r="H3" s="23"/>
      <c r="I3" s="26"/>
      <c r="J3" s="26"/>
      <c r="K3" s="26"/>
      <c r="L3" s="26"/>
      <c r="M3" s="26"/>
      <c r="N3" s="26"/>
      <c r="O3" s="26"/>
      <c r="P3" s="26"/>
      <c r="Q3" s="26"/>
      <c r="R3" s="27"/>
      <c r="S3" s="27"/>
      <c r="T3" s="27"/>
      <c r="U3" s="27"/>
      <c r="V3" s="27"/>
      <c r="W3" s="27"/>
      <c r="X3" s="27"/>
      <c r="Y3" s="27"/>
      <c r="Z3" s="27"/>
      <c r="AA3" s="27"/>
      <c r="AB3" s="27"/>
      <c r="AC3" s="27"/>
    </row>
    <row r="4" spans="1:29" ht="15" customHeight="1">
      <c r="H4" s="23"/>
      <c r="I4" s="26"/>
      <c r="J4" s="26"/>
      <c r="K4" s="26"/>
      <c r="L4" s="26"/>
      <c r="M4" s="26"/>
      <c r="N4" s="26"/>
      <c r="O4" s="26"/>
      <c r="P4" s="26"/>
      <c r="Q4" s="26"/>
      <c r="R4" s="27"/>
      <c r="S4" s="27"/>
      <c r="T4" s="27"/>
      <c r="U4" s="87"/>
      <c r="V4" s="88"/>
      <c r="W4" s="88"/>
      <c r="X4" s="88"/>
      <c r="Y4" s="88"/>
      <c r="Z4" s="27"/>
      <c r="AA4" s="27"/>
      <c r="AB4" s="27"/>
      <c r="AC4" s="27"/>
    </row>
    <row r="5" spans="1:29" ht="15" customHeight="1">
      <c r="B5" s="31"/>
      <c r="C5" s="31"/>
      <c r="D5" s="31"/>
      <c r="E5" s="31"/>
      <c r="F5" s="31"/>
      <c r="G5" s="31"/>
      <c r="H5" s="31"/>
      <c r="I5" s="31"/>
      <c r="J5" s="31"/>
      <c r="K5" s="31"/>
      <c r="L5" s="31"/>
      <c r="M5" s="31"/>
      <c r="N5" s="31"/>
      <c r="O5" s="1"/>
      <c r="P5" s="1"/>
      <c r="Q5" s="21"/>
      <c r="R5" s="82" t="s">
        <v>139</v>
      </c>
      <c r="S5" s="82"/>
      <c r="T5" s="82"/>
      <c r="U5" s="82"/>
      <c r="V5" s="82"/>
      <c r="W5" s="82"/>
      <c r="X5" s="82"/>
      <c r="Y5" s="82"/>
      <c r="Z5" s="82"/>
      <c r="AA5" s="82"/>
      <c r="AB5" s="82"/>
      <c r="AC5" s="27"/>
    </row>
    <row r="6" spans="1:29" ht="15" customHeight="1">
      <c r="A6" s="1"/>
      <c r="B6" s="32"/>
      <c r="C6" s="32"/>
      <c r="D6" s="32"/>
      <c r="E6" s="32"/>
      <c r="F6" s="32"/>
      <c r="G6" s="32"/>
      <c r="H6" s="32"/>
      <c r="I6" s="32"/>
      <c r="J6" s="32"/>
      <c r="K6" s="32"/>
      <c r="L6" s="32"/>
      <c r="M6" s="32"/>
      <c r="N6" s="32"/>
      <c r="O6" s="1"/>
      <c r="P6" s="1"/>
      <c r="Q6" s="21"/>
      <c r="R6" s="82"/>
      <c r="S6" s="82"/>
      <c r="T6" s="82"/>
      <c r="U6" s="82"/>
      <c r="V6" s="82"/>
      <c r="W6" s="82"/>
      <c r="X6" s="82"/>
      <c r="Y6" s="82"/>
      <c r="Z6" s="82"/>
      <c r="AA6" s="82"/>
      <c r="AB6" s="82"/>
      <c r="AC6" s="27"/>
    </row>
    <row r="7" spans="1:29" ht="15" customHeight="1">
      <c r="A7" s="1"/>
      <c r="N7" s="1"/>
      <c r="O7" s="1"/>
      <c r="P7" s="1"/>
      <c r="Q7" s="1"/>
      <c r="R7" s="82"/>
      <c r="S7" s="82"/>
      <c r="T7" s="82"/>
      <c r="U7" s="82"/>
      <c r="V7" s="82"/>
      <c r="W7" s="82"/>
      <c r="X7" s="82"/>
      <c r="Y7" s="82"/>
      <c r="Z7" s="82"/>
      <c r="AA7" s="82"/>
      <c r="AB7" s="82"/>
    </row>
    <row r="8" spans="1:29" ht="15" customHeight="1">
      <c r="A8" s="1"/>
      <c r="B8" s="86" t="s">
        <v>35</v>
      </c>
      <c r="C8" s="86"/>
      <c r="D8" s="86"/>
      <c r="E8" s="86"/>
      <c r="F8" s="86"/>
      <c r="G8" s="86"/>
      <c r="H8" s="86"/>
      <c r="I8" s="86"/>
      <c r="J8" s="86"/>
      <c r="K8" s="86"/>
      <c r="L8" s="86"/>
      <c r="M8" s="86"/>
      <c r="N8" s="86"/>
      <c r="O8" s="2"/>
      <c r="P8" s="2"/>
      <c r="Q8" s="2"/>
      <c r="R8" s="2"/>
      <c r="AB8" s="2"/>
    </row>
    <row r="9" spans="1:29" ht="15" customHeight="1">
      <c r="A9" s="1"/>
      <c r="B9" s="84"/>
      <c r="C9" s="84"/>
      <c r="D9" s="84"/>
      <c r="E9" s="84"/>
      <c r="F9" s="84"/>
      <c r="G9" s="84"/>
      <c r="H9" s="84"/>
      <c r="I9" s="84"/>
      <c r="J9" s="84"/>
      <c r="K9" s="84"/>
      <c r="L9" s="84"/>
      <c r="M9" s="84"/>
      <c r="N9" s="84"/>
      <c r="O9" s="4"/>
      <c r="P9" s="2"/>
      <c r="Q9" s="2"/>
      <c r="R9" s="2"/>
      <c r="AB9" s="2"/>
    </row>
    <row r="10" spans="1:29" ht="15" customHeight="1">
      <c r="A10" s="1"/>
      <c r="B10" s="84"/>
      <c r="C10" s="84"/>
      <c r="D10" s="84"/>
      <c r="E10" s="84"/>
      <c r="F10" s="84"/>
      <c r="G10" s="84"/>
      <c r="H10" s="84"/>
      <c r="I10" s="84"/>
      <c r="J10" s="84"/>
      <c r="K10" s="84"/>
      <c r="L10" s="84"/>
      <c r="M10" s="84"/>
      <c r="N10" s="84"/>
      <c r="O10" s="4"/>
      <c r="P10" s="2"/>
      <c r="Q10" s="2"/>
      <c r="R10" s="2"/>
      <c r="AB10" s="2"/>
    </row>
    <row r="11" spans="1:29" ht="15" customHeight="1">
      <c r="A11" s="1"/>
      <c r="B11" s="2"/>
      <c r="C11" s="2"/>
      <c r="D11" s="2"/>
      <c r="E11" s="2"/>
      <c r="F11" s="2"/>
      <c r="G11" s="2"/>
      <c r="H11" s="2"/>
      <c r="I11" s="2"/>
      <c r="J11" s="2"/>
      <c r="K11" s="2"/>
      <c r="L11" s="2"/>
      <c r="M11" s="2"/>
      <c r="N11" s="2"/>
      <c r="O11" s="2"/>
      <c r="P11" s="2"/>
      <c r="Q11" s="2"/>
      <c r="R11" s="2"/>
      <c r="S11" s="81" t="s">
        <v>134</v>
      </c>
      <c r="T11" s="81"/>
      <c r="U11" s="81"/>
      <c r="V11" s="81"/>
      <c r="W11" s="81"/>
      <c r="X11" s="81"/>
      <c r="Y11" s="81"/>
      <c r="Z11" s="81"/>
      <c r="AA11" s="81"/>
      <c r="AB11" s="2"/>
    </row>
    <row r="12" spans="1:29" ht="15" customHeight="1">
      <c r="A12" s="1"/>
      <c r="B12" s="9" t="s">
        <v>142</v>
      </c>
      <c r="C12" s="9"/>
      <c r="D12" s="2"/>
      <c r="E12" s="2"/>
      <c r="F12" s="2"/>
      <c r="G12" s="2"/>
      <c r="H12" s="2"/>
      <c r="I12" s="2"/>
      <c r="J12" s="2"/>
      <c r="K12" s="2"/>
      <c r="L12" s="2"/>
      <c r="M12" s="2"/>
      <c r="N12" s="2"/>
      <c r="O12" s="2"/>
      <c r="P12" s="2"/>
      <c r="Q12" s="2"/>
      <c r="R12" s="2"/>
      <c r="S12" s="81"/>
      <c r="T12" s="81"/>
      <c r="U12" s="81"/>
      <c r="V12" s="81"/>
      <c r="W12" s="81"/>
      <c r="X12" s="81"/>
      <c r="Y12" s="81"/>
      <c r="Z12" s="81"/>
      <c r="AA12" s="81"/>
      <c r="AB12" s="2"/>
    </row>
    <row r="13" spans="1:29" ht="15" customHeight="1">
      <c r="A13" s="1"/>
      <c r="B13" s="9" t="s">
        <v>143</v>
      </c>
      <c r="C13" s="9"/>
      <c r="D13" s="2"/>
      <c r="E13" s="2"/>
      <c r="F13" s="2"/>
      <c r="G13" s="2"/>
      <c r="H13" s="2"/>
      <c r="I13" s="2"/>
      <c r="J13" s="2"/>
      <c r="K13" s="2"/>
      <c r="L13" s="2"/>
      <c r="M13" s="2"/>
      <c r="N13" s="2"/>
      <c r="O13" s="2"/>
      <c r="P13" s="2"/>
      <c r="Q13" s="2"/>
      <c r="R13" s="2"/>
      <c r="S13" s="76" t="s">
        <v>135</v>
      </c>
      <c r="T13" s="76"/>
      <c r="U13" s="76"/>
      <c r="V13" s="76"/>
      <c r="W13" s="76"/>
      <c r="X13" s="76"/>
      <c r="Y13" s="76"/>
      <c r="Z13" s="76"/>
      <c r="AA13" s="76"/>
      <c r="AB13" s="2"/>
    </row>
    <row r="14" spans="1:29" ht="15" customHeight="1" thickBot="1">
      <c r="A14" s="1"/>
      <c r="B14" s="10"/>
      <c r="C14" s="2"/>
      <c r="D14" s="2"/>
      <c r="E14" s="2"/>
      <c r="F14" s="2"/>
      <c r="G14" s="2"/>
      <c r="H14" s="2"/>
      <c r="I14" s="2"/>
      <c r="J14" s="2"/>
      <c r="K14" s="2"/>
      <c r="L14" s="2"/>
      <c r="M14" s="2"/>
      <c r="N14" s="2"/>
      <c r="O14" s="2"/>
      <c r="P14" s="2"/>
      <c r="Q14" s="2"/>
      <c r="R14" s="2"/>
      <c r="S14" s="80" t="s">
        <v>138</v>
      </c>
      <c r="T14" s="80"/>
      <c r="U14" s="80"/>
      <c r="V14" s="80"/>
      <c r="W14" s="80"/>
      <c r="X14" s="80"/>
      <c r="Y14" s="80"/>
      <c r="Z14" s="80"/>
      <c r="AA14" s="80"/>
      <c r="AB14" s="2"/>
    </row>
    <row r="15" spans="1:29" ht="15" customHeight="1" thickTop="1">
      <c r="A15" s="1"/>
      <c r="B15" s="90" t="s">
        <v>140</v>
      </c>
      <c r="C15" s="91"/>
      <c r="D15" s="91"/>
      <c r="E15" s="91"/>
      <c r="F15" s="94">
        <f>W43</f>
        <v>0</v>
      </c>
      <c r="G15" s="95"/>
      <c r="H15" s="95"/>
      <c r="I15" s="95"/>
      <c r="J15" s="95"/>
      <c r="K15" s="95"/>
      <c r="L15" s="95"/>
      <c r="M15" s="95"/>
      <c r="N15" s="97" t="s">
        <v>7</v>
      </c>
      <c r="O15" s="98"/>
      <c r="P15" s="2"/>
      <c r="Q15" s="2"/>
      <c r="R15" s="2"/>
      <c r="S15" s="89" t="s">
        <v>136</v>
      </c>
      <c r="T15" s="89"/>
      <c r="U15" s="89"/>
      <c r="V15" s="89"/>
      <c r="W15" s="89"/>
      <c r="X15" s="89"/>
      <c r="Y15" s="89"/>
      <c r="Z15" s="89"/>
      <c r="AA15" s="89"/>
      <c r="AB15" s="2"/>
    </row>
    <row r="16" spans="1:29" ht="15" customHeight="1" thickBot="1">
      <c r="A16" s="1"/>
      <c r="B16" s="92"/>
      <c r="C16" s="93"/>
      <c r="D16" s="93"/>
      <c r="E16" s="93"/>
      <c r="F16" s="96"/>
      <c r="G16" s="96"/>
      <c r="H16" s="96"/>
      <c r="I16" s="96"/>
      <c r="J16" s="96"/>
      <c r="K16" s="96"/>
      <c r="L16" s="96"/>
      <c r="M16" s="96"/>
      <c r="N16" s="99"/>
      <c r="O16" s="100"/>
      <c r="P16" s="2"/>
      <c r="Q16" s="2"/>
      <c r="R16" s="2"/>
      <c r="S16" s="83" t="s">
        <v>144</v>
      </c>
      <c r="T16" s="83"/>
      <c r="U16" s="83"/>
      <c r="V16" s="83"/>
      <c r="W16" s="83"/>
      <c r="X16" s="83"/>
      <c r="Y16" s="83"/>
      <c r="Z16" s="83"/>
      <c r="AA16" s="83"/>
      <c r="AB16" s="83"/>
    </row>
    <row r="17" spans="1:28" ht="15" customHeight="1" thickTop="1">
      <c r="A17" s="1"/>
      <c r="B17" s="2"/>
      <c r="C17" s="5"/>
      <c r="D17" s="5"/>
      <c r="E17" s="5"/>
      <c r="F17" s="2"/>
      <c r="G17" s="2"/>
      <c r="H17" s="2"/>
      <c r="I17" s="2"/>
      <c r="J17" s="2"/>
      <c r="K17" s="2"/>
      <c r="L17" s="2"/>
      <c r="M17" s="2"/>
      <c r="N17" s="2"/>
      <c r="O17" s="2"/>
      <c r="P17" s="2"/>
      <c r="Q17" s="2"/>
      <c r="R17" s="2"/>
      <c r="S17" s="83" t="s">
        <v>137</v>
      </c>
      <c r="T17" s="83"/>
      <c r="U17" s="83"/>
      <c r="V17" s="83"/>
      <c r="W17" s="83"/>
      <c r="X17" s="83"/>
      <c r="Y17" s="83"/>
      <c r="Z17" s="83"/>
      <c r="AA17" s="83"/>
      <c r="AB17" s="83"/>
    </row>
    <row r="18" spans="1:28" ht="15" customHeight="1">
      <c r="A18" s="1"/>
      <c r="B18" s="73" t="s">
        <v>141</v>
      </c>
      <c r="C18" s="73"/>
      <c r="D18" s="73"/>
      <c r="E18" s="73"/>
      <c r="F18" s="74"/>
      <c r="G18" s="74"/>
      <c r="H18" s="74"/>
      <c r="I18" s="74"/>
      <c r="J18" s="74"/>
      <c r="K18" s="74"/>
      <c r="L18" s="74"/>
      <c r="M18" s="74"/>
      <c r="N18" s="74"/>
      <c r="O18" s="74"/>
      <c r="P18" s="2"/>
      <c r="Q18" s="2"/>
      <c r="R18" s="2"/>
      <c r="S18" s="28" t="s">
        <v>133</v>
      </c>
      <c r="T18" s="28"/>
      <c r="U18" s="28"/>
      <c r="V18" s="28"/>
      <c r="W18" s="28"/>
      <c r="X18" s="28"/>
      <c r="Y18" s="28"/>
      <c r="Z18" s="28"/>
      <c r="AA18" s="28"/>
      <c r="AB18" s="2"/>
    </row>
    <row r="19" spans="1:28" ht="15" customHeight="1">
      <c r="A19" s="1"/>
      <c r="B19" s="73"/>
      <c r="C19" s="73"/>
      <c r="D19" s="73"/>
      <c r="E19" s="73"/>
      <c r="F19" s="74"/>
      <c r="G19" s="74"/>
      <c r="H19" s="74"/>
      <c r="I19" s="74"/>
      <c r="J19" s="74"/>
      <c r="K19" s="74"/>
      <c r="L19" s="74"/>
      <c r="M19" s="74"/>
      <c r="N19" s="74"/>
      <c r="O19" s="74"/>
      <c r="P19" s="2"/>
      <c r="Q19" s="2"/>
      <c r="R19" s="2"/>
      <c r="S19" s="75"/>
      <c r="T19" s="75"/>
      <c r="U19" s="75"/>
      <c r="V19" s="76"/>
      <c r="W19" s="76"/>
      <c r="X19" s="76"/>
      <c r="Y19" s="76"/>
      <c r="Z19" s="76"/>
      <c r="AA19" s="76"/>
      <c r="AB19" s="2"/>
    </row>
    <row r="20" spans="1:28">
      <c r="A20" s="1"/>
      <c r="B20" s="1"/>
      <c r="C20" s="6"/>
      <c r="D20" s="7"/>
      <c r="E20" s="8"/>
      <c r="F20" s="11"/>
      <c r="G20" s="11"/>
      <c r="H20" s="11"/>
      <c r="I20" s="11"/>
      <c r="J20" s="11"/>
      <c r="K20" s="11"/>
      <c r="L20" s="11"/>
      <c r="M20" s="11"/>
      <c r="N20" s="11"/>
      <c r="O20" s="11"/>
      <c r="P20" s="11"/>
      <c r="Q20" s="8"/>
      <c r="R20" s="8"/>
      <c r="S20" s="2"/>
      <c r="T20" s="2"/>
      <c r="U20" s="2"/>
      <c r="V20" s="2"/>
      <c r="W20" s="2"/>
      <c r="X20" s="2"/>
      <c r="Y20" s="2"/>
      <c r="Z20" s="2"/>
      <c r="AA20" s="2"/>
      <c r="AB20" s="1"/>
    </row>
    <row r="21" spans="1:28" ht="18.75" customHeight="1">
      <c r="A21" s="1"/>
      <c r="B21" s="77" t="s">
        <v>1</v>
      </c>
      <c r="C21" s="78"/>
      <c r="D21" s="78"/>
      <c r="E21" s="78"/>
      <c r="F21" s="78"/>
      <c r="G21" s="78"/>
      <c r="H21" s="78"/>
      <c r="I21" s="78"/>
      <c r="J21" s="78"/>
      <c r="K21" s="78"/>
      <c r="L21" s="78"/>
      <c r="M21" s="78"/>
      <c r="N21" s="78" t="s">
        <v>2</v>
      </c>
      <c r="O21" s="78"/>
      <c r="P21" s="78"/>
      <c r="Q21" s="78"/>
      <c r="R21" s="78" t="s">
        <v>3</v>
      </c>
      <c r="S21" s="78"/>
      <c r="T21" s="78"/>
      <c r="U21" s="78"/>
      <c r="V21" s="78"/>
      <c r="W21" s="78" t="s">
        <v>5</v>
      </c>
      <c r="X21" s="78"/>
      <c r="Y21" s="78"/>
      <c r="Z21" s="78"/>
      <c r="AA21" s="79"/>
      <c r="AB21" s="1"/>
    </row>
    <row r="22" spans="1:28" ht="18.75" customHeight="1">
      <c r="A22" s="1"/>
      <c r="B22" s="65"/>
      <c r="C22" s="66"/>
      <c r="D22" s="66"/>
      <c r="E22" s="66"/>
      <c r="F22" s="66"/>
      <c r="G22" s="66"/>
      <c r="H22" s="66"/>
      <c r="I22" s="66"/>
      <c r="J22" s="66"/>
      <c r="K22" s="66"/>
      <c r="L22" s="66"/>
      <c r="M22" s="67"/>
      <c r="N22" s="68"/>
      <c r="O22" s="68"/>
      <c r="P22" s="68"/>
      <c r="Q22" s="68"/>
      <c r="R22" s="69"/>
      <c r="S22" s="69"/>
      <c r="T22" s="69"/>
      <c r="U22" s="69"/>
      <c r="V22" s="69"/>
      <c r="W22" s="70"/>
      <c r="X22" s="71"/>
      <c r="Y22" s="71"/>
      <c r="Z22" s="71"/>
      <c r="AA22" s="72"/>
      <c r="AB22" s="1"/>
    </row>
    <row r="23" spans="1:28" ht="18.75" customHeight="1">
      <c r="A23" s="1"/>
      <c r="B23" s="57"/>
      <c r="C23" s="57"/>
      <c r="D23" s="57"/>
      <c r="E23" s="57"/>
      <c r="F23" s="57"/>
      <c r="G23" s="57"/>
      <c r="H23" s="57"/>
      <c r="I23" s="57"/>
      <c r="J23" s="57"/>
      <c r="K23" s="57"/>
      <c r="L23" s="57"/>
      <c r="M23" s="58"/>
      <c r="N23" s="59"/>
      <c r="O23" s="60"/>
      <c r="P23" s="60"/>
      <c r="Q23" s="61"/>
      <c r="R23" s="62"/>
      <c r="S23" s="63"/>
      <c r="T23" s="63"/>
      <c r="U23" s="63"/>
      <c r="V23" s="64"/>
      <c r="W23" s="62"/>
      <c r="X23" s="63"/>
      <c r="Y23" s="63"/>
      <c r="Z23" s="63"/>
      <c r="AA23" s="63"/>
      <c r="AB23" s="1"/>
    </row>
    <row r="24" spans="1:28" ht="18.75" customHeight="1">
      <c r="A24" s="1"/>
      <c r="B24" s="49"/>
      <c r="C24" s="49"/>
      <c r="D24" s="49"/>
      <c r="E24" s="49"/>
      <c r="F24" s="49"/>
      <c r="G24" s="49"/>
      <c r="H24" s="49"/>
      <c r="I24" s="49"/>
      <c r="J24" s="49"/>
      <c r="K24" s="49"/>
      <c r="L24" s="49"/>
      <c r="M24" s="50"/>
      <c r="N24" s="51"/>
      <c r="O24" s="52"/>
      <c r="P24" s="52"/>
      <c r="Q24" s="53"/>
      <c r="R24" s="54"/>
      <c r="S24" s="55"/>
      <c r="T24" s="55"/>
      <c r="U24" s="55"/>
      <c r="V24" s="56"/>
      <c r="W24" s="54"/>
      <c r="X24" s="55"/>
      <c r="Y24" s="55"/>
      <c r="Z24" s="55"/>
      <c r="AA24" s="55"/>
      <c r="AB24" s="1"/>
    </row>
    <row r="25" spans="1:28" ht="18.75" customHeight="1">
      <c r="A25" s="1"/>
      <c r="B25" s="57"/>
      <c r="C25" s="57"/>
      <c r="D25" s="57"/>
      <c r="E25" s="57"/>
      <c r="F25" s="57"/>
      <c r="G25" s="57"/>
      <c r="H25" s="57"/>
      <c r="I25" s="57"/>
      <c r="J25" s="57"/>
      <c r="K25" s="57"/>
      <c r="L25" s="57"/>
      <c r="M25" s="58"/>
      <c r="N25" s="59"/>
      <c r="O25" s="60"/>
      <c r="P25" s="60"/>
      <c r="Q25" s="61"/>
      <c r="R25" s="62"/>
      <c r="S25" s="63"/>
      <c r="T25" s="63"/>
      <c r="U25" s="63"/>
      <c r="V25" s="64"/>
      <c r="W25" s="62"/>
      <c r="X25" s="63"/>
      <c r="Y25" s="63"/>
      <c r="Z25" s="63"/>
      <c r="AA25" s="63"/>
      <c r="AB25" s="1"/>
    </row>
    <row r="26" spans="1:28" ht="18.75" customHeight="1">
      <c r="A26" s="1"/>
      <c r="B26" s="49"/>
      <c r="C26" s="49"/>
      <c r="D26" s="49"/>
      <c r="E26" s="49"/>
      <c r="F26" s="49"/>
      <c r="G26" s="49"/>
      <c r="H26" s="49"/>
      <c r="I26" s="49"/>
      <c r="J26" s="49"/>
      <c r="K26" s="49"/>
      <c r="L26" s="49"/>
      <c r="M26" s="50"/>
      <c r="N26" s="51"/>
      <c r="O26" s="52"/>
      <c r="P26" s="52"/>
      <c r="Q26" s="53"/>
      <c r="R26" s="54"/>
      <c r="S26" s="55"/>
      <c r="T26" s="55"/>
      <c r="U26" s="55"/>
      <c r="V26" s="56"/>
      <c r="W26" s="54"/>
      <c r="X26" s="55"/>
      <c r="Y26" s="55"/>
      <c r="Z26" s="55"/>
      <c r="AA26" s="55"/>
      <c r="AB26" s="1"/>
    </row>
    <row r="27" spans="1:28" ht="18.75" customHeight="1">
      <c r="A27" s="1"/>
      <c r="B27" s="57"/>
      <c r="C27" s="57"/>
      <c r="D27" s="57"/>
      <c r="E27" s="57"/>
      <c r="F27" s="57"/>
      <c r="G27" s="57"/>
      <c r="H27" s="57"/>
      <c r="I27" s="57"/>
      <c r="J27" s="57"/>
      <c r="K27" s="57"/>
      <c r="L27" s="57"/>
      <c r="M27" s="58"/>
      <c r="N27" s="59"/>
      <c r="O27" s="60"/>
      <c r="P27" s="60"/>
      <c r="Q27" s="61"/>
      <c r="R27" s="62"/>
      <c r="S27" s="63"/>
      <c r="T27" s="63"/>
      <c r="U27" s="63"/>
      <c r="V27" s="64"/>
      <c r="W27" s="62"/>
      <c r="X27" s="63"/>
      <c r="Y27" s="63"/>
      <c r="Z27" s="63"/>
      <c r="AA27" s="63"/>
      <c r="AB27" s="1"/>
    </row>
    <row r="28" spans="1:28" ht="18.75" customHeight="1">
      <c r="A28" s="1"/>
      <c r="B28" s="49"/>
      <c r="C28" s="49"/>
      <c r="D28" s="49"/>
      <c r="E28" s="49"/>
      <c r="F28" s="49"/>
      <c r="G28" s="49"/>
      <c r="H28" s="49"/>
      <c r="I28" s="49"/>
      <c r="J28" s="49"/>
      <c r="K28" s="49"/>
      <c r="L28" s="49"/>
      <c r="M28" s="50"/>
      <c r="N28" s="51"/>
      <c r="O28" s="52"/>
      <c r="P28" s="52"/>
      <c r="Q28" s="53"/>
      <c r="R28" s="54"/>
      <c r="S28" s="55"/>
      <c r="T28" s="55"/>
      <c r="U28" s="55"/>
      <c r="V28" s="56"/>
      <c r="W28" s="54"/>
      <c r="X28" s="55"/>
      <c r="Y28" s="55"/>
      <c r="Z28" s="55"/>
      <c r="AA28" s="55"/>
      <c r="AB28" s="1"/>
    </row>
    <row r="29" spans="1:28" ht="18.75" customHeight="1">
      <c r="A29" s="1"/>
      <c r="B29" s="57"/>
      <c r="C29" s="57"/>
      <c r="D29" s="57"/>
      <c r="E29" s="57"/>
      <c r="F29" s="57"/>
      <c r="G29" s="57"/>
      <c r="H29" s="57"/>
      <c r="I29" s="57"/>
      <c r="J29" s="57"/>
      <c r="K29" s="57"/>
      <c r="L29" s="57"/>
      <c r="M29" s="58"/>
      <c r="N29" s="59"/>
      <c r="O29" s="60"/>
      <c r="P29" s="60"/>
      <c r="Q29" s="61"/>
      <c r="R29" s="62"/>
      <c r="S29" s="63"/>
      <c r="T29" s="63"/>
      <c r="U29" s="63"/>
      <c r="V29" s="64"/>
      <c r="W29" s="62"/>
      <c r="X29" s="63"/>
      <c r="Y29" s="63"/>
      <c r="Z29" s="63"/>
      <c r="AA29" s="63"/>
      <c r="AB29" s="1"/>
    </row>
    <row r="30" spans="1:28" ht="18.75" customHeight="1">
      <c r="A30" s="1"/>
      <c r="B30" s="49"/>
      <c r="C30" s="49"/>
      <c r="D30" s="49"/>
      <c r="E30" s="49"/>
      <c r="F30" s="49"/>
      <c r="G30" s="49"/>
      <c r="H30" s="49"/>
      <c r="I30" s="49"/>
      <c r="J30" s="49"/>
      <c r="K30" s="49"/>
      <c r="L30" s="49"/>
      <c r="M30" s="50"/>
      <c r="N30" s="51"/>
      <c r="O30" s="52"/>
      <c r="P30" s="52"/>
      <c r="Q30" s="53"/>
      <c r="R30" s="54"/>
      <c r="S30" s="55"/>
      <c r="T30" s="55"/>
      <c r="U30" s="55"/>
      <c r="V30" s="56"/>
      <c r="W30" s="54"/>
      <c r="X30" s="55"/>
      <c r="Y30" s="55"/>
      <c r="Z30" s="55"/>
      <c r="AA30" s="55"/>
      <c r="AB30" s="1"/>
    </row>
    <row r="31" spans="1:28" ht="18.75" customHeight="1">
      <c r="A31" s="1"/>
      <c r="B31" s="57"/>
      <c r="C31" s="57"/>
      <c r="D31" s="57"/>
      <c r="E31" s="57"/>
      <c r="F31" s="57"/>
      <c r="G31" s="57"/>
      <c r="H31" s="57"/>
      <c r="I31" s="57"/>
      <c r="J31" s="57"/>
      <c r="K31" s="57"/>
      <c r="L31" s="57"/>
      <c r="M31" s="58"/>
      <c r="N31" s="59"/>
      <c r="O31" s="60"/>
      <c r="P31" s="60"/>
      <c r="Q31" s="61"/>
      <c r="R31" s="62"/>
      <c r="S31" s="63"/>
      <c r="T31" s="63"/>
      <c r="U31" s="63"/>
      <c r="V31" s="64"/>
      <c r="W31" s="62"/>
      <c r="X31" s="63"/>
      <c r="Y31" s="63"/>
      <c r="Z31" s="63"/>
      <c r="AA31" s="63"/>
      <c r="AB31" s="1"/>
    </row>
    <row r="32" spans="1:28" ht="18.75" customHeight="1">
      <c r="A32" s="1"/>
      <c r="B32" s="49"/>
      <c r="C32" s="49"/>
      <c r="D32" s="49"/>
      <c r="E32" s="49"/>
      <c r="F32" s="49"/>
      <c r="G32" s="49"/>
      <c r="H32" s="49"/>
      <c r="I32" s="49"/>
      <c r="J32" s="49"/>
      <c r="K32" s="49"/>
      <c r="L32" s="49"/>
      <c r="M32" s="50"/>
      <c r="N32" s="51"/>
      <c r="O32" s="52"/>
      <c r="P32" s="52"/>
      <c r="Q32" s="53"/>
      <c r="R32" s="54"/>
      <c r="S32" s="55"/>
      <c r="T32" s="55"/>
      <c r="U32" s="55"/>
      <c r="V32" s="56"/>
      <c r="W32" s="54"/>
      <c r="X32" s="55"/>
      <c r="Y32" s="55"/>
      <c r="Z32" s="55"/>
      <c r="AA32" s="55"/>
      <c r="AB32" s="1"/>
    </row>
    <row r="33" spans="1:28" ht="18.75" customHeight="1">
      <c r="A33" s="1"/>
      <c r="B33" s="57"/>
      <c r="C33" s="57"/>
      <c r="D33" s="57"/>
      <c r="E33" s="57"/>
      <c r="F33" s="57"/>
      <c r="G33" s="57"/>
      <c r="H33" s="57"/>
      <c r="I33" s="57"/>
      <c r="J33" s="57"/>
      <c r="K33" s="57"/>
      <c r="L33" s="57"/>
      <c r="M33" s="58"/>
      <c r="N33" s="59"/>
      <c r="O33" s="60"/>
      <c r="P33" s="60"/>
      <c r="Q33" s="61"/>
      <c r="R33" s="62"/>
      <c r="S33" s="63"/>
      <c r="T33" s="63"/>
      <c r="U33" s="63"/>
      <c r="V33" s="64"/>
      <c r="W33" s="62"/>
      <c r="X33" s="63"/>
      <c r="Y33" s="63"/>
      <c r="Z33" s="63"/>
      <c r="AA33" s="63"/>
      <c r="AB33" s="1"/>
    </row>
    <row r="34" spans="1:28" ht="18.75" customHeight="1">
      <c r="A34" s="1"/>
      <c r="B34" s="49"/>
      <c r="C34" s="49"/>
      <c r="D34" s="49"/>
      <c r="E34" s="49"/>
      <c r="F34" s="49"/>
      <c r="G34" s="49"/>
      <c r="H34" s="49"/>
      <c r="I34" s="49"/>
      <c r="J34" s="49"/>
      <c r="K34" s="49"/>
      <c r="L34" s="49"/>
      <c r="M34" s="50"/>
      <c r="N34" s="51"/>
      <c r="O34" s="52"/>
      <c r="P34" s="52"/>
      <c r="Q34" s="53"/>
      <c r="R34" s="54"/>
      <c r="S34" s="55"/>
      <c r="T34" s="55"/>
      <c r="U34" s="55"/>
      <c r="V34" s="56"/>
      <c r="W34" s="54"/>
      <c r="X34" s="55"/>
      <c r="Y34" s="55"/>
      <c r="Z34" s="55"/>
      <c r="AA34" s="55"/>
      <c r="AB34" s="1"/>
    </row>
    <row r="35" spans="1:28" ht="18.75" customHeight="1">
      <c r="A35" s="1"/>
      <c r="B35" s="57"/>
      <c r="C35" s="57"/>
      <c r="D35" s="57"/>
      <c r="E35" s="57"/>
      <c r="F35" s="57"/>
      <c r="G35" s="57"/>
      <c r="H35" s="57"/>
      <c r="I35" s="57"/>
      <c r="J35" s="57"/>
      <c r="K35" s="57"/>
      <c r="L35" s="57"/>
      <c r="M35" s="58"/>
      <c r="N35" s="59"/>
      <c r="O35" s="60"/>
      <c r="P35" s="60"/>
      <c r="Q35" s="61"/>
      <c r="R35" s="62"/>
      <c r="S35" s="63"/>
      <c r="T35" s="63"/>
      <c r="U35" s="63"/>
      <c r="V35" s="64"/>
      <c r="W35" s="62"/>
      <c r="X35" s="63"/>
      <c r="Y35" s="63"/>
      <c r="Z35" s="63"/>
      <c r="AA35" s="63"/>
      <c r="AB35" s="1"/>
    </row>
    <row r="36" spans="1:28" ht="18.75" customHeight="1">
      <c r="A36" s="1"/>
      <c r="B36" s="49"/>
      <c r="C36" s="49"/>
      <c r="D36" s="49"/>
      <c r="E36" s="49"/>
      <c r="F36" s="49"/>
      <c r="G36" s="49"/>
      <c r="H36" s="49"/>
      <c r="I36" s="49"/>
      <c r="J36" s="49"/>
      <c r="K36" s="49"/>
      <c r="L36" s="49"/>
      <c r="M36" s="50"/>
      <c r="N36" s="51"/>
      <c r="O36" s="52"/>
      <c r="P36" s="52"/>
      <c r="Q36" s="53"/>
      <c r="R36" s="54"/>
      <c r="S36" s="55"/>
      <c r="T36" s="55"/>
      <c r="U36" s="55"/>
      <c r="V36" s="56"/>
      <c r="W36" s="54"/>
      <c r="X36" s="55"/>
      <c r="Y36" s="55"/>
      <c r="Z36" s="55"/>
      <c r="AA36" s="55"/>
      <c r="AB36" s="1"/>
    </row>
    <row r="37" spans="1:28" ht="18.75" customHeight="1">
      <c r="A37" s="1"/>
      <c r="B37" s="57"/>
      <c r="C37" s="57"/>
      <c r="D37" s="57"/>
      <c r="E37" s="57"/>
      <c r="F37" s="57"/>
      <c r="G37" s="57"/>
      <c r="H37" s="57"/>
      <c r="I37" s="57"/>
      <c r="J37" s="57"/>
      <c r="K37" s="57"/>
      <c r="L37" s="57"/>
      <c r="M37" s="58"/>
      <c r="N37" s="59"/>
      <c r="O37" s="60"/>
      <c r="P37" s="60"/>
      <c r="Q37" s="61"/>
      <c r="R37" s="62"/>
      <c r="S37" s="63"/>
      <c r="T37" s="63"/>
      <c r="U37" s="63"/>
      <c r="V37" s="64"/>
      <c r="W37" s="62"/>
      <c r="X37" s="63"/>
      <c r="Y37" s="63"/>
      <c r="Z37" s="63"/>
      <c r="AA37" s="63"/>
      <c r="AB37" s="1"/>
    </row>
    <row r="38" spans="1:28" ht="18.75" customHeight="1">
      <c r="A38" s="1"/>
      <c r="B38" s="49"/>
      <c r="C38" s="49"/>
      <c r="D38" s="49"/>
      <c r="E38" s="49"/>
      <c r="F38" s="49"/>
      <c r="G38" s="49"/>
      <c r="H38" s="49"/>
      <c r="I38" s="49"/>
      <c r="J38" s="49"/>
      <c r="K38" s="49"/>
      <c r="L38" s="49"/>
      <c r="M38" s="50"/>
      <c r="N38" s="51"/>
      <c r="O38" s="52"/>
      <c r="P38" s="52"/>
      <c r="Q38" s="53"/>
      <c r="R38" s="54"/>
      <c r="S38" s="55"/>
      <c r="T38" s="55"/>
      <c r="U38" s="55"/>
      <c r="V38" s="56"/>
      <c r="W38" s="54"/>
      <c r="X38" s="55"/>
      <c r="Y38" s="55"/>
      <c r="Z38" s="55"/>
      <c r="AA38" s="55"/>
      <c r="AB38" s="1"/>
    </row>
    <row r="39" spans="1:28" ht="18.75" customHeight="1">
      <c r="A39" s="1"/>
      <c r="B39" s="57"/>
      <c r="C39" s="57"/>
      <c r="D39" s="57"/>
      <c r="E39" s="57"/>
      <c r="F39" s="57"/>
      <c r="G39" s="57"/>
      <c r="H39" s="57"/>
      <c r="I39" s="57"/>
      <c r="J39" s="57"/>
      <c r="K39" s="57"/>
      <c r="L39" s="57"/>
      <c r="M39" s="58"/>
      <c r="N39" s="59"/>
      <c r="O39" s="60"/>
      <c r="P39" s="60"/>
      <c r="Q39" s="61"/>
      <c r="R39" s="62"/>
      <c r="S39" s="63"/>
      <c r="T39" s="63"/>
      <c r="U39" s="63"/>
      <c r="V39" s="64"/>
      <c r="W39" s="62"/>
      <c r="X39" s="63"/>
      <c r="Y39" s="63"/>
      <c r="Z39" s="63"/>
      <c r="AA39" s="63"/>
      <c r="AB39" s="1"/>
    </row>
    <row r="40" spans="1:28" ht="18.75" customHeight="1" thickBot="1">
      <c r="A40" s="1"/>
      <c r="B40" s="15"/>
      <c r="C40" s="15"/>
      <c r="D40" s="15"/>
      <c r="E40" s="15"/>
      <c r="F40" s="15"/>
      <c r="G40" s="15"/>
      <c r="H40" s="15"/>
      <c r="I40" s="15"/>
      <c r="J40" s="15"/>
      <c r="K40" s="15"/>
      <c r="L40" s="15"/>
      <c r="M40" s="15"/>
      <c r="N40" s="12"/>
      <c r="O40" s="12"/>
      <c r="P40" s="12"/>
      <c r="Q40" s="12"/>
      <c r="R40" s="13"/>
      <c r="S40" s="13"/>
      <c r="T40" s="13"/>
      <c r="U40" s="13"/>
      <c r="V40" s="13"/>
      <c r="W40" s="14"/>
      <c r="X40" s="14"/>
      <c r="Y40" s="14"/>
      <c r="Z40" s="14"/>
      <c r="AA40" s="14"/>
      <c r="AB40" s="1"/>
    </row>
    <row r="41" spans="1:28" ht="18" customHeight="1" thickBot="1">
      <c r="A41" s="1"/>
      <c r="B41" s="33" t="s">
        <v>76</v>
      </c>
      <c r="C41" s="34"/>
      <c r="D41" s="34"/>
      <c r="E41" s="34"/>
      <c r="F41" s="34"/>
      <c r="G41" s="34"/>
      <c r="H41" s="34"/>
      <c r="I41" s="34"/>
      <c r="J41" s="34"/>
      <c r="K41" s="34"/>
      <c r="L41" s="34"/>
      <c r="M41" s="34"/>
      <c r="N41" s="34"/>
      <c r="O41" s="34"/>
      <c r="P41" s="35"/>
      <c r="Q41" s="1"/>
      <c r="R41" s="36" t="s">
        <v>4</v>
      </c>
      <c r="S41" s="37"/>
      <c r="T41" s="37"/>
      <c r="U41" s="37"/>
      <c r="V41" s="38"/>
      <c r="W41" s="39">
        <f>SUM(W22:AA39)</f>
        <v>0</v>
      </c>
      <c r="X41" s="40"/>
      <c r="Y41" s="40"/>
      <c r="Z41" s="40"/>
      <c r="AA41" s="40"/>
      <c r="AB41" s="1"/>
    </row>
    <row r="42" spans="1:28" ht="18" customHeight="1" thickBot="1">
      <c r="A42" s="1"/>
      <c r="B42" s="41"/>
      <c r="C42" s="42"/>
      <c r="D42" s="42"/>
      <c r="E42" s="42"/>
      <c r="F42" s="42"/>
      <c r="G42" s="42"/>
      <c r="H42" s="42"/>
      <c r="I42" s="42"/>
      <c r="J42" s="42"/>
      <c r="K42" s="42"/>
      <c r="L42" s="42"/>
      <c r="M42" s="42"/>
      <c r="N42" s="42"/>
      <c r="O42" s="42"/>
      <c r="P42" s="43"/>
      <c r="Q42" s="1"/>
      <c r="R42" s="36" t="s">
        <v>132</v>
      </c>
      <c r="S42" s="37"/>
      <c r="T42" s="37"/>
      <c r="U42" s="37"/>
      <c r="V42" s="38"/>
      <c r="W42" s="47">
        <f>W41*0.1</f>
        <v>0</v>
      </c>
      <c r="X42" s="48"/>
      <c r="Y42" s="48"/>
      <c r="Z42" s="48"/>
      <c r="AA42" s="48"/>
      <c r="AB42" s="1"/>
    </row>
    <row r="43" spans="1:28" ht="18" customHeight="1" thickBot="1">
      <c r="A43" s="1"/>
      <c r="B43" s="41"/>
      <c r="C43" s="42"/>
      <c r="D43" s="42"/>
      <c r="E43" s="42"/>
      <c r="F43" s="42"/>
      <c r="G43" s="42"/>
      <c r="H43" s="42"/>
      <c r="I43" s="42"/>
      <c r="J43" s="42"/>
      <c r="K43" s="42"/>
      <c r="L43" s="42"/>
      <c r="M43" s="42"/>
      <c r="N43" s="42"/>
      <c r="O43" s="42"/>
      <c r="P43" s="43"/>
      <c r="Q43" s="1"/>
      <c r="R43" s="36" t="s">
        <v>5</v>
      </c>
      <c r="S43" s="37"/>
      <c r="T43" s="37"/>
      <c r="U43" s="37"/>
      <c r="V43" s="38"/>
      <c r="W43" s="39">
        <f>SUM(W41:AA42)</f>
        <v>0</v>
      </c>
      <c r="X43" s="40"/>
      <c r="Y43" s="40"/>
      <c r="Z43" s="40"/>
      <c r="AA43" s="40"/>
      <c r="AB43" s="1"/>
    </row>
    <row r="44" spans="1:28">
      <c r="A44" s="1"/>
      <c r="B44" s="41"/>
      <c r="C44" s="42"/>
      <c r="D44" s="42"/>
      <c r="E44" s="42"/>
      <c r="F44" s="42"/>
      <c r="G44" s="42"/>
      <c r="H44" s="42"/>
      <c r="I44" s="42"/>
      <c r="J44" s="42"/>
      <c r="K44" s="42"/>
      <c r="L44" s="42"/>
      <c r="M44" s="42"/>
      <c r="N44" s="42"/>
      <c r="O44" s="42"/>
      <c r="P44" s="43"/>
      <c r="Q44" s="24"/>
      <c r="R44" s="24"/>
      <c r="S44" s="7"/>
      <c r="T44" s="7"/>
      <c r="U44" s="1"/>
      <c r="V44" s="1"/>
      <c r="W44" s="1"/>
      <c r="X44" s="1"/>
      <c r="Y44" s="1"/>
      <c r="Z44" s="1"/>
      <c r="AA44" s="1"/>
      <c r="AB44" s="1"/>
    </row>
    <row r="45" spans="1:28" ht="15" thickBot="1">
      <c r="A45" s="1"/>
      <c r="B45" s="44"/>
      <c r="C45" s="45"/>
      <c r="D45" s="45"/>
      <c r="E45" s="45"/>
      <c r="F45" s="45"/>
      <c r="G45" s="45"/>
      <c r="H45" s="45"/>
      <c r="I45" s="45"/>
      <c r="J45" s="45"/>
      <c r="K45" s="45"/>
      <c r="L45" s="45"/>
      <c r="M45" s="45"/>
      <c r="N45" s="45"/>
      <c r="O45" s="45"/>
      <c r="P45" s="46"/>
      <c r="Q45" s="25"/>
      <c r="R45" s="25"/>
      <c r="S45" s="7"/>
      <c r="T45" s="7"/>
      <c r="U45" s="1"/>
      <c r="V45" s="1"/>
      <c r="W45" s="1"/>
      <c r="X45" s="1"/>
      <c r="Y45" s="1"/>
      <c r="Z45" s="1"/>
      <c r="AA45" s="1"/>
      <c r="AB45" s="1"/>
    </row>
    <row r="46" spans="1:28">
      <c r="A46" s="1"/>
      <c r="B46" s="1"/>
      <c r="C46" s="1"/>
      <c r="D46" s="1"/>
      <c r="E46" s="1"/>
      <c r="F46" s="1"/>
      <c r="G46" s="1"/>
      <c r="H46" s="1"/>
      <c r="I46" s="1"/>
      <c r="J46" s="1"/>
      <c r="K46" s="1"/>
      <c r="L46" s="1"/>
      <c r="M46" s="1"/>
      <c r="N46" s="1"/>
      <c r="O46" s="1"/>
      <c r="P46" s="1"/>
      <c r="Q46" s="1"/>
      <c r="R46" s="1"/>
      <c r="S46" s="7"/>
      <c r="T46" s="7"/>
      <c r="U46" s="1"/>
      <c r="V46" s="1"/>
      <c r="W46" s="1"/>
      <c r="X46" s="1"/>
      <c r="Y46" s="1"/>
      <c r="Z46" s="1"/>
      <c r="AA46" s="1"/>
      <c r="AB46" s="1"/>
    </row>
    <row r="47" spans="1:28">
      <c r="A47" s="1"/>
      <c r="B47" s="1"/>
      <c r="C47" s="1"/>
      <c r="D47" s="1"/>
      <c r="E47" s="1"/>
      <c r="F47" s="1"/>
      <c r="G47" s="1"/>
      <c r="H47" s="1"/>
      <c r="I47" s="1"/>
      <c r="J47" s="1"/>
      <c r="K47" s="1"/>
      <c r="L47" s="1"/>
      <c r="M47" s="1"/>
      <c r="N47" s="1"/>
      <c r="O47" s="1"/>
      <c r="P47" s="1"/>
      <c r="Q47" s="1"/>
      <c r="R47" s="1"/>
      <c r="S47" s="7"/>
      <c r="T47" s="29"/>
      <c r="U47" s="29"/>
      <c r="V47" s="29"/>
      <c r="W47" s="29"/>
      <c r="X47" s="30"/>
      <c r="Y47" s="30"/>
      <c r="Z47" s="30"/>
      <c r="AA47" s="30"/>
      <c r="AB47" s="1"/>
    </row>
    <row r="48" spans="1:28">
      <c r="A48" s="1"/>
      <c r="B48" s="1"/>
      <c r="C48" s="1"/>
      <c r="D48" s="1"/>
      <c r="E48" s="1"/>
      <c r="F48" s="1"/>
      <c r="G48" s="1"/>
      <c r="H48" s="1"/>
      <c r="I48" s="1"/>
      <c r="J48" s="1"/>
      <c r="K48" s="1"/>
      <c r="L48" s="1"/>
      <c r="M48" s="1"/>
      <c r="N48" s="1"/>
      <c r="O48" s="1"/>
      <c r="P48" s="1"/>
      <c r="Q48" s="1"/>
      <c r="R48" s="1"/>
      <c r="S48" s="7"/>
      <c r="T48" s="7"/>
      <c r="U48" s="1"/>
      <c r="V48" s="1"/>
      <c r="W48" s="1"/>
      <c r="X48" s="1"/>
      <c r="Y48" s="1"/>
      <c r="Z48" s="1"/>
      <c r="AA48" s="1"/>
      <c r="AB48" s="1"/>
    </row>
    <row r="49" spans="1:28">
      <c r="A49" s="1"/>
      <c r="B49" s="1"/>
      <c r="C49" s="1"/>
      <c r="D49" s="1"/>
      <c r="E49" s="1"/>
      <c r="F49" s="1"/>
      <c r="G49" s="1"/>
      <c r="H49" s="1"/>
      <c r="I49" s="1"/>
      <c r="J49" s="1"/>
      <c r="K49" s="1"/>
      <c r="L49" s="1"/>
      <c r="M49" s="1"/>
      <c r="N49" s="1"/>
      <c r="O49" s="1"/>
      <c r="P49" s="1"/>
      <c r="Q49" s="1"/>
      <c r="R49" s="1"/>
      <c r="S49" s="7"/>
      <c r="T49" s="7"/>
      <c r="U49" s="1"/>
      <c r="V49" s="1"/>
      <c r="W49" s="1"/>
      <c r="X49" s="1"/>
      <c r="Y49" s="1"/>
      <c r="Z49" s="1"/>
      <c r="AA49" s="1"/>
      <c r="AB49" s="1"/>
    </row>
    <row r="50" spans="1:28">
      <c r="A50" s="1"/>
      <c r="B50" s="1"/>
      <c r="C50" s="1"/>
      <c r="D50" s="1"/>
      <c r="E50" s="1"/>
      <c r="F50" s="1"/>
      <c r="G50" s="1"/>
      <c r="H50" s="1"/>
      <c r="I50" s="1"/>
      <c r="J50" s="1"/>
      <c r="K50" s="1"/>
      <c r="L50" s="1"/>
      <c r="M50" s="1"/>
      <c r="N50" s="1"/>
      <c r="O50" s="1"/>
      <c r="P50" s="1"/>
      <c r="Q50" s="1"/>
      <c r="R50" s="1"/>
      <c r="S50" s="7"/>
      <c r="T50" s="7"/>
      <c r="U50" s="1"/>
      <c r="V50" s="1"/>
      <c r="W50" s="1"/>
      <c r="X50" s="1"/>
      <c r="Y50" s="1"/>
      <c r="Z50" s="1"/>
      <c r="AA50" s="1"/>
      <c r="AB50" s="1"/>
    </row>
    <row r="51" spans="1:28">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c r="S52" s="1"/>
      <c r="T52" s="1"/>
      <c r="U52" s="1"/>
      <c r="V52" s="1"/>
      <c r="W52" s="1"/>
      <c r="X52" s="1"/>
      <c r="Y52" s="1"/>
      <c r="Z52" s="1"/>
      <c r="AA52" s="1"/>
    </row>
  </sheetData>
  <mergeCells count="109">
    <mergeCell ref="S14:AA14"/>
    <mergeCell ref="S13:AA13"/>
    <mergeCell ref="S11:AA12"/>
    <mergeCell ref="R5:AB7"/>
    <mergeCell ref="S17:AB17"/>
    <mergeCell ref="B9:N9"/>
    <mergeCell ref="V1:X1"/>
    <mergeCell ref="Y1:AB1"/>
    <mergeCell ref="B8:N8"/>
    <mergeCell ref="B10:N10"/>
    <mergeCell ref="U4:Y4"/>
    <mergeCell ref="S15:AA15"/>
    <mergeCell ref="B15:E16"/>
    <mergeCell ref="F15:M16"/>
    <mergeCell ref="N15:O16"/>
    <mergeCell ref="S16:AB16"/>
    <mergeCell ref="B19:E19"/>
    <mergeCell ref="F19:O19"/>
    <mergeCell ref="S19:U19"/>
    <mergeCell ref="V19:AA19"/>
    <mergeCell ref="B21:M21"/>
    <mergeCell ref="N21:Q21"/>
    <mergeCell ref="R21:V21"/>
    <mergeCell ref="W21:AA21"/>
    <mergeCell ref="B18:E18"/>
    <mergeCell ref="F18:O18"/>
    <mergeCell ref="B24:M24"/>
    <mergeCell ref="N24:Q24"/>
    <mergeCell ref="R24:V24"/>
    <mergeCell ref="W24:AA24"/>
    <mergeCell ref="B25:M25"/>
    <mergeCell ref="N25:Q25"/>
    <mergeCell ref="R25:V25"/>
    <mergeCell ref="W25:AA25"/>
    <mergeCell ref="B22:M22"/>
    <mergeCell ref="N22:Q22"/>
    <mergeCell ref="R22:V22"/>
    <mergeCell ref="W22:AA22"/>
    <mergeCell ref="B23:M23"/>
    <mergeCell ref="N23:Q23"/>
    <mergeCell ref="R23:V23"/>
    <mergeCell ref="W23:AA23"/>
    <mergeCell ref="B28:M28"/>
    <mergeCell ref="N28:Q28"/>
    <mergeCell ref="R28:V28"/>
    <mergeCell ref="W28:AA28"/>
    <mergeCell ref="B29:M29"/>
    <mergeCell ref="N29:Q29"/>
    <mergeCell ref="R29:V29"/>
    <mergeCell ref="W29:AA29"/>
    <mergeCell ref="B26:M26"/>
    <mergeCell ref="N26:Q26"/>
    <mergeCell ref="R26:V26"/>
    <mergeCell ref="W26:AA26"/>
    <mergeCell ref="B27:M27"/>
    <mergeCell ref="N27:Q27"/>
    <mergeCell ref="R27:V27"/>
    <mergeCell ref="W27:AA27"/>
    <mergeCell ref="B32:M32"/>
    <mergeCell ref="N32:Q32"/>
    <mergeCell ref="R32:V32"/>
    <mergeCell ref="W32:AA32"/>
    <mergeCell ref="B33:M33"/>
    <mergeCell ref="N33:Q33"/>
    <mergeCell ref="R33:V33"/>
    <mergeCell ref="W33:AA33"/>
    <mergeCell ref="B30:M30"/>
    <mergeCell ref="N30:Q30"/>
    <mergeCell ref="R30:V30"/>
    <mergeCell ref="W30:AA30"/>
    <mergeCell ref="B31:M31"/>
    <mergeCell ref="N31:Q31"/>
    <mergeCell ref="R31:V31"/>
    <mergeCell ref="W31:AA31"/>
    <mergeCell ref="N37:Q37"/>
    <mergeCell ref="R37:V37"/>
    <mergeCell ref="W37:AA37"/>
    <mergeCell ref="B34:M34"/>
    <mergeCell ref="N34:Q34"/>
    <mergeCell ref="R34:V34"/>
    <mergeCell ref="W34:AA34"/>
    <mergeCell ref="B35:M35"/>
    <mergeCell ref="N35:Q35"/>
    <mergeCell ref="R35:V35"/>
    <mergeCell ref="W35:AA35"/>
    <mergeCell ref="T47:W47"/>
    <mergeCell ref="X47:AA47"/>
    <mergeCell ref="B5:N6"/>
    <mergeCell ref="B41:P41"/>
    <mergeCell ref="R41:V41"/>
    <mergeCell ref="W41:AA41"/>
    <mergeCell ref="B42:P45"/>
    <mergeCell ref="R42:V42"/>
    <mergeCell ref="W42:AA42"/>
    <mergeCell ref="R43:V43"/>
    <mergeCell ref="W43:AA43"/>
    <mergeCell ref="B38:M38"/>
    <mergeCell ref="N38:Q38"/>
    <mergeCell ref="R38:V38"/>
    <mergeCell ref="W38:AA38"/>
    <mergeCell ref="B39:M39"/>
    <mergeCell ref="N39:Q39"/>
    <mergeCell ref="R39:V39"/>
    <mergeCell ref="W39:AA39"/>
    <mergeCell ref="B36:M36"/>
    <mergeCell ref="N36:Q36"/>
    <mergeCell ref="R36:V36"/>
    <mergeCell ref="W36:AA36"/>
    <mergeCell ref="B37:M37"/>
  </mergeCells>
  <phoneticPr fontId="1"/>
  <printOptions horizontalCentered="1" verticalCentered="1"/>
  <pageMargins left="0.23622047244094491" right="0.23622047244094491" top="0.74803149606299213" bottom="0.74803149606299213" header="0.31496062992125984" footer="0.31496062992125984"/>
  <pageSetup paperSize="9" scale="90" orientation="portrait" horizont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2:AC54"/>
  <sheetViews>
    <sheetView showGridLines="0" view="pageBreakPreview" zoomScaleNormal="40" zoomScaleSheetLayoutView="100" workbookViewId="0"/>
  </sheetViews>
  <sheetFormatPr baseColWidth="10" defaultColWidth="1.6640625" defaultRowHeight="14"/>
  <cols>
    <col min="1" max="29" width="3.5" customWidth="1"/>
  </cols>
  <sheetData>
    <row r="2" spans="1:29" ht="15" customHeight="1">
      <c r="B2" s="142"/>
      <c r="C2" s="142"/>
      <c r="D2" s="142"/>
      <c r="E2" s="142"/>
      <c r="F2" s="142"/>
      <c r="G2" s="142"/>
      <c r="H2" s="142"/>
      <c r="Q2" s="1"/>
      <c r="R2" s="1"/>
      <c r="S2" s="1"/>
      <c r="T2" s="1"/>
      <c r="U2" s="1"/>
      <c r="V2" s="1"/>
      <c r="W2" s="1"/>
      <c r="X2" s="1"/>
      <c r="Y2" s="1"/>
      <c r="Z2" s="1"/>
      <c r="AA2" s="1"/>
      <c r="AB2" s="1"/>
    </row>
    <row r="3" spans="1:29" ht="15" customHeight="1">
      <c r="B3" s="143"/>
      <c r="C3" s="143"/>
      <c r="D3" s="143"/>
      <c r="E3" s="143"/>
      <c r="F3" s="143"/>
      <c r="G3" s="143"/>
      <c r="H3" s="143"/>
      <c r="Q3" s="144" t="s">
        <v>0</v>
      </c>
      <c r="R3" s="144"/>
      <c r="S3" s="144"/>
      <c r="T3" s="144"/>
      <c r="U3" s="144"/>
      <c r="V3" s="144"/>
      <c r="W3" s="144"/>
      <c r="X3" s="144"/>
      <c r="Y3" s="144"/>
      <c r="Z3" s="144"/>
      <c r="AA3" s="144"/>
      <c r="AB3" s="144"/>
      <c r="AC3" s="3"/>
    </row>
    <row r="4" spans="1:29" ht="15" customHeight="1">
      <c r="N4" s="1"/>
      <c r="O4" s="1"/>
      <c r="P4" s="1"/>
      <c r="Q4" s="144"/>
      <c r="R4" s="144"/>
      <c r="S4" s="144"/>
      <c r="T4" s="144"/>
      <c r="U4" s="144"/>
      <c r="V4" s="144"/>
      <c r="W4" s="144"/>
      <c r="X4" s="144"/>
      <c r="Y4" s="144"/>
      <c r="Z4" s="144"/>
      <c r="AA4" s="144"/>
      <c r="AB4" s="144"/>
      <c r="AC4" s="3"/>
    </row>
    <row r="5" spans="1:29" ht="15" customHeight="1">
      <c r="B5" s="31" t="e">
        <f>IF(#REF!="","",IF(#REF!="",#REF!&amp;"　御中",#REF!))</f>
        <v>#REF!</v>
      </c>
      <c r="C5" s="31"/>
      <c r="D5" s="31"/>
      <c r="E5" s="31"/>
      <c r="F5" s="31"/>
      <c r="G5" s="31"/>
      <c r="H5" s="31"/>
      <c r="I5" s="31"/>
      <c r="J5" s="31"/>
      <c r="K5" s="31"/>
      <c r="L5" s="31"/>
      <c r="M5" s="31"/>
      <c r="N5" s="31"/>
      <c r="O5" s="1"/>
      <c r="P5" s="1"/>
      <c r="Q5" s="144"/>
      <c r="R5" s="144"/>
      <c r="S5" s="144"/>
      <c r="T5" s="144"/>
      <c r="U5" s="144"/>
      <c r="V5" s="144"/>
      <c r="W5" s="144"/>
      <c r="X5" s="144"/>
      <c r="Y5" s="144"/>
      <c r="Z5" s="144"/>
      <c r="AA5" s="144"/>
      <c r="AB5" s="144"/>
      <c r="AC5" s="3"/>
    </row>
    <row r="6" spans="1:29" ht="15" customHeight="1">
      <c r="A6" s="1"/>
      <c r="B6" s="32"/>
      <c r="C6" s="32"/>
      <c r="D6" s="32"/>
      <c r="E6" s="32"/>
      <c r="F6" s="32"/>
      <c r="G6" s="32"/>
      <c r="H6" s="32"/>
      <c r="I6" s="32"/>
      <c r="J6" s="32"/>
      <c r="K6" s="32"/>
      <c r="L6" s="32"/>
      <c r="M6" s="32"/>
      <c r="N6" s="32"/>
      <c r="O6" s="1"/>
      <c r="P6" s="1"/>
      <c r="Q6" s="144"/>
      <c r="R6" s="144"/>
      <c r="S6" s="144"/>
      <c r="T6" s="144"/>
      <c r="U6" s="144"/>
      <c r="V6" s="144"/>
      <c r="W6" s="144"/>
      <c r="X6" s="144"/>
      <c r="Y6" s="144"/>
      <c r="Z6" s="144"/>
      <c r="AA6" s="144"/>
      <c r="AB6" s="144"/>
      <c r="AC6" s="3"/>
    </row>
    <row r="7" spans="1:29" ht="15" customHeight="1">
      <c r="A7" s="1"/>
      <c r="N7" s="1"/>
      <c r="O7" s="1"/>
      <c r="P7" s="1"/>
      <c r="Q7" s="1"/>
      <c r="R7" s="1"/>
      <c r="S7" s="1"/>
      <c r="T7" s="1"/>
      <c r="U7" s="1"/>
      <c r="V7" s="1"/>
      <c r="W7" s="1"/>
      <c r="X7" s="1"/>
      <c r="Y7" s="1"/>
      <c r="Z7" s="1"/>
      <c r="AA7" s="1"/>
      <c r="AB7" s="1"/>
    </row>
    <row r="8" spans="1:29" ht="15" customHeight="1">
      <c r="A8" s="1"/>
      <c r="B8" s="86" t="e">
        <f>IF(#REF!="","","〒"&amp;#REF!)</f>
        <v>#REF!</v>
      </c>
      <c r="C8" s="86"/>
      <c r="D8" s="86"/>
      <c r="E8" s="86"/>
      <c r="F8" s="86"/>
      <c r="G8" s="86"/>
      <c r="H8" s="86"/>
      <c r="I8" s="86"/>
      <c r="J8" s="86"/>
      <c r="K8" s="86"/>
      <c r="L8" s="86"/>
      <c r="M8" s="86"/>
      <c r="N8" s="86"/>
      <c r="O8" s="2"/>
      <c r="P8" s="2"/>
      <c r="Q8" s="2"/>
      <c r="R8" s="2"/>
      <c r="S8" s="145" t="s">
        <v>8</v>
      </c>
      <c r="T8" s="145"/>
      <c r="U8" s="145"/>
      <c r="V8" s="145"/>
      <c r="W8" s="145"/>
      <c r="X8" s="145"/>
      <c r="Y8" s="145"/>
      <c r="Z8" s="145"/>
      <c r="AA8" s="145"/>
      <c r="AB8" s="2"/>
    </row>
    <row r="9" spans="1:29" ht="15" customHeight="1">
      <c r="A9" s="1"/>
      <c r="B9" s="84" t="e">
        <f>IF(#REF!="","",#REF!)</f>
        <v>#REF!</v>
      </c>
      <c r="C9" s="84"/>
      <c r="D9" s="84"/>
      <c r="E9" s="84"/>
      <c r="F9" s="84"/>
      <c r="G9" s="84"/>
      <c r="H9" s="84"/>
      <c r="I9" s="84"/>
      <c r="J9" s="84"/>
      <c r="K9" s="84"/>
      <c r="L9" s="84"/>
      <c r="M9" s="84"/>
      <c r="N9" s="84"/>
      <c r="O9" s="4"/>
      <c r="P9" s="2"/>
      <c r="Q9" s="2"/>
      <c r="R9" s="2"/>
      <c r="S9" s="16"/>
      <c r="T9" s="16"/>
      <c r="U9" s="16"/>
      <c r="V9" s="16"/>
      <c r="W9" s="16"/>
      <c r="X9" s="16"/>
      <c r="Y9" s="16"/>
      <c r="Z9" s="16"/>
      <c r="AA9" s="16"/>
      <c r="AB9" s="2"/>
    </row>
    <row r="10" spans="1:29" ht="15" customHeight="1">
      <c r="A10" s="1"/>
      <c r="B10" s="84" t="e">
        <f>IF(#REF!="","",#REF!&amp;"　"&amp;#REF!&amp;"　様")</f>
        <v>#REF!</v>
      </c>
      <c r="C10" s="84"/>
      <c r="D10" s="84"/>
      <c r="E10" s="84"/>
      <c r="F10" s="84"/>
      <c r="G10" s="84"/>
      <c r="H10" s="84"/>
      <c r="I10" s="84"/>
      <c r="J10" s="84"/>
      <c r="K10" s="84"/>
      <c r="L10" s="84"/>
      <c r="M10" s="84"/>
      <c r="N10" s="84"/>
      <c r="O10" s="4"/>
      <c r="P10" s="2"/>
      <c r="Q10" s="2"/>
      <c r="R10" s="2"/>
      <c r="S10" s="76" t="s">
        <v>126</v>
      </c>
      <c r="T10" s="76"/>
      <c r="U10" s="76"/>
      <c r="V10" s="76"/>
      <c r="W10" s="76"/>
      <c r="X10" s="76"/>
      <c r="Y10" s="76"/>
      <c r="Z10" s="76"/>
      <c r="AA10" s="76"/>
      <c r="AB10" s="2"/>
    </row>
    <row r="11" spans="1:29" ht="15" customHeight="1">
      <c r="A11" s="1"/>
      <c r="B11" s="2"/>
      <c r="C11" s="2"/>
      <c r="D11" s="2"/>
      <c r="E11" s="2"/>
      <c r="F11" s="2"/>
      <c r="G11" s="2"/>
      <c r="H11" s="2"/>
      <c r="I11" s="2"/>
      <c r="J11" s="2"/>
      <c r="K11" s="2"/>
      <c r="L11" s="2"/>
      <c r="M11" s="2"/>
      <c r="N11" s="2"/>
      <c r="O11" s="2"/>
      <c r="P11" s="2"/>
      <c r="Q11" s="2"/>
      <c r="R11" s="2"/>
      <c r="S11" s="80" t="s">
        <v>127</v>
      </c>
      <c r="T11" s="80"/>
      <c r="U11" s="80"/>
      <c r="V11" s="80"/>
      <c r="W11" s="80"/>
      <c r="X11" s="80"/>
      <c r="Y11" s="80"/>
      <c r="Z11" s="80"/>
      <c r="AA11" s="80"/>
      <c r="AB11" s="2"/>
    </row>
    <row r="12" spans="1:29" ht="15" customHeight="1">
      <c r="A12" s="1"/>
      <c r="B12" s="9" t="s">
        <v>19</v>
      </c>
      <c r="C12" s="9"/>
      <c r="D12" s="2"/>
      <c r="E12" s="2"/>
      <c r="F12" s="2"/>
      <c r="G12" s="2"/>
      <c r="H12" s="2"/>
      <c r="I12" s="2"/>
      <c r="J12" s="2"/>
      <c r="K12" s="2"/>
      <c r="L12" s="2"/>
      <c r="M12" s="2"/>
      <c r="N12" s="2"/>
      <c r="O12" s="2"/>
      <c r="P12" s="2"/>
      <c r="Q12" s="2"/>
      <c r="R12" s="2"/>
      <c r="S12" s="89" t="s">
        <v>128</v>
      </c>
      <c r="T12" s="89"/>
      <c r="U12" s="89"/>
      <c r="V12" s="89"/>
      <c r="W12" s="89"/>
      <c r="X12" s="89"/>
      <c r="Y12" s="89"/>
      <c r="Z12" s="89"/>
      <c r="AA12" s="89"/>
      <c r="AB12" s="2"/>
    </row>
    <row r="13" spans="1:29" ht="15" customHeight="1">
      <c r="A13" s="1"/>
      <c r="B13" s="9" t="s">
        <v>75</v>
      </c>
      <c r="C13" s="9"/>
      <c r="D13" s="2"/>
      <c r="E13" s="2"/>
      <c r="F13" s="2"/>
      <c r="G13" s="2"/>
      <c r="H13" s="2"/>
      <c r="I13" s="2"/>
      <c r="J13" s="2"/>
      <c r="K13" s="2"/>
      <c r="L13" s="2"/>
      <c r="M13" s="2"/>
      <c r="N13" s="2"/>
      <c r="O13" s="2"/>
      <c r="P13" s="2"/>
      <c r="Q13" s="2"/>
      <c r="R13" s="2"/>
      <c r="S13" s="75" t="s">
        <v>9</v>
      </c>
      <c r="T13" s="75"/>
      <c r="U13" s="75"/>
      <c r="V13" s="76" t="s">
        <v>129</v>
      </c>
      <c r="W13" s="76"/>
      <c r="X13" s="76"/>
      <c r="Y13" s="76"/>
      <c r="Z13" s="76"/>
      <c r="AA13" s="76"/>
      <c r="AB13" s="2"/>
    </row>
    <row r="14" spans="1:29" ht="15" customHeight="1" thickBot="1">
      <c r="A14" s="1"/>
      <c r="B14" s="10"/>
      <c r="C14" s="2"/>
      <c r="D14" s="2"/>
      <c r="E14" s="2"/>
      <c r="F14" s="2"/>
      <c r="G14" s="2"/>
      <c r="H14" s="2"/>
      <c r="I14" s="2"/>
      <c r="J14" s="2"/>
      <c r="K14" s="2"/>
      <c r="L14" s="2"/>
      <c r="M14" s="2"/>
      <c r="N14" s="2"/>
      <c r="O14" s="2"/>
      <c r="P14" s="2"/>
      <c r="Q14" s="2"/>
      <c r="R14" s="2"/>
      <c r="S14" s="75" t="s">
        <v>10</v>
      </c>
      <c r="T14" s="75"/>
      <c r="U14" s="75"/>
      <c r="V14" s="76" t="s">
        <v>130</v>
      </c>
      <c r="W14" s="76"/>
      <c r="X14" s="76"/>
      <c r="Y14" s="76"/>
      <c r="Z14" s="76"/>
      <c r="AA14" s="76"/>
      <c r="AB14" s="2"/>
    </row>
    <row r="15" spans="1:29" ht="15" customHeight="1" thickTop="1">
      <c r="A15" s="1"/>
      <c r="B15" s="131" t="s">
        <v>6</v>
      </c>
      <c r="C15" s="132"/>
      <c r="D15" s="132"/>
      <c r="E15" s="132"/>
      <c r="F15" s="135" t="str">
        <f>W43</f>
        <v/>
      </c>
      <c r="G15" s="136"/>
      <c r="H15" s="136"/>
      <c r="I15" s="136"/>
      <c r="J15" s="136"/>
      <c r="K15" s="136"/>
      <c r="L15" s="136"/>
      <c r="M15" s="136"/>
      <c r="N15" s="138" t="s">
        <v>7</v>
      </c>
      <c r="O15" s="139"/>
      <c r="P15" s="2"/>
      <c r="Q15" s="2"/>
      <c r="R15" s="2"/>
      <c r="S15" s="75" t="s">
        <v>11</v>
      </c>
      <c r="T15" s="75"/>
      <c r="U15" s="75"/>
      <c r="V15" s="76" t="e">
        <f>IF(#REF!="","経営管理部　経理グループ",#REF!)</f>
        <v>#REF!</v>
      </c>
      <c r="W15" s="76"/>
      <c r="X15" s="76"/>
      <c r="Y15" s="76"/>
      <c r="Z15" s="76"/>
      <c r="AA15" s="76"/>
      <c r="AB15" s="2"/>
    </row>
    <row r="16" spans="1:29" ht="15" customHeight="1" thickBot="1">
      <c r="A16" s="1"/>
      <c r="B16" s="133"/>
      <c r="C16" s="134"/>
      <c r="D16" s="134"/>
      <c r="E16" s="134"/>
      <c r="F16" s="137"/>
      <c r="G16" s="137"/>
      <c r="H16" s="137"/>
      <c r="I16" s="137"/>
      <c r="J16" s="137"/>
      <c r="K16" s="137"/>
      <c r="L16" s="137"/>
      <c r="M16" s="137"/>
      <c r="N16" s="140"/>
      <c r="O16" s="141"/>
      <c r="P16" s="2"/>
      <c r="Q16" s="2"/>
      <c r="R16" s="2"/>
      <c r="S16" s="75" t="s">
        <v>77</v>
      </c>
      <c r="T16" s="75"/>
      <c r="U16" s="75"/>
      <c r="V16" s="76" t="e">
        <f>IF(#REF!="","0120-270-6748",#REF!)</f>
        <v>#REF!</v>
      </c>
      <c r="W16" s="76"/>
      <c r="X16" s="76"/>
      <c r="Y16" s="76"/>
      <c r="Z16" s="76"/>
      <c r="AA16" s="76"/>
      <c r="AB16" s="2"/>
    </row>
    <row r="17" spans="1:28" ht="15" customHeight="1" thickTop="1">
      <c r="A17" s="1"/>
      <c r="B17" s="2"/>
      <c r="C17" s="5"/>
      <c r="D17" s="5"/>
      <c r="E17" s="5"/>
      <c r="F17" s="2"/>
      <c r="G17" s="2"/>
      <c r="H17" s="2"/>
      <c r="I17" s="2"/>
      <c r="J17" s="2"/>
      <c r="K17" s="2"/>
      <c r="L17" s="2"/>
      <c r="M17" s="2"/>
      <c r="N17" s="2"/>
      <c r="O17" s="2"/>
      <c r="P17" s="2"/>
      <c r="Q17" s="2"/>
      <c r="R17" s="2"/>
      <c r="S17" s="75" t="s">
        <v>12</v>
      </c>
      <c r="T17" s="75"/>
      <c r="U17" s="75"/>
      <c r="V17" s="76" t="e">
        <f>IF(#REF!="","info@enplanning.co.jp",#REF!)</f>
        <v>#REF!</v>
      </c>
      <c r="W17" s="76"/>
      <c r="X17" s="76"/>
      <c r="Y17" s="76"/>
      <c r="Z17" s="76"/>
      <c r="AA17" s="76"/>
      <c r="AB17" s="2"/>
    </row>
    <row r="18" spans="1:28" ht="15" customHeight="1">
      <c r="A18" s="1"/>
      <c r="B18" s="73" t="s">
        <v>13</v>
      </c>
      <c r="C18" s="73"/>
      <c r="D18" s="73"/>
      <c r="E18" s="73"/>
      <c r="F18" s="74" t="e">
        <f>IF(#REF!="","　　　　年　　　月　　　日",#REF!)</f>
        <v>#REF!</v>
      </c>
      <c r="G18" s="74"/>
      <c r="H18" s="74"/>
      <c r="I18" s="74"/>
      <c r="J18" s="74"/>
      <c r="K18" s="74"/>
      <c r="L18" s="74"/>
      <c r="M18" s="74"/>
      <c r="N18" s="74"/>
      <c r="O18" s="74"/>
      <c r="P18" s="2"/>
      <c r="Q18" s="2"/>
      <c r="R18" s="2"/>
      <c r="S18" s="75"/>
      <c r="T18" s="75"/>
      <c r="U18" s="75"/>
      <c r="V18" s="76"/>
      <c r="W18" s="76"/>
      <c r="X18" s="76"/>
      <c r="Y18" s="76"/>
      <c r="Z18" s="76"/>
      <c r="AA18" s="76"/>
      <c r="AB18" s="2"/>
    </row>
    <row r="19" spans="1:28" ht="15" customHeight="1">
      <c r="A19" s="1"/>
      <c r="B19" s="73" t="s">
        <v>14</v>
      </c>
      <c r="C19" s="73"/>
      <c r="D19" s="73"/>
      <c r="E19" s="73"/>
      <c r="F19" s="74" t="e">
        <f>IF(#REF!="","契約書記載の通り",#REF!)</f>
        <v>#REF!</v>
      </c>
      <c r="G19" s="74"/>
      <c r="H19" s="74"/>
      <c r="I19" s="74"/>
      <c r="J19" s="74"/>
      <c r="K19" s="74"/>
      <c r="L19" s="74"/>
      <c r="M19" s="74"/>
      <c r="N19" s="74"/>
      <c r="O19" s="74"/>
      <c r="P19" s="2"/>
      <c r="Q19" s="2"/>
      <c r="R19" s="2"/>
      <c r="S19" s="75"/>
      <c r="T19" s="75"/>
      <c r="U19" s="75"/>
      <c r="V19" s="76"/>
      <c r="W19" s="76"/>
      <c r="X19" s="76"/>
      <c r="Y19" s="76"/>
      <c r="Z19" s="76"/>
      <c r="AA19" s="76"/>
      <c r="AB19" s="2"/>
    </row>
    <row r="20" spans="1:28">
      <c r="A20" s="1"/>
      <c r="B20" s="1"/>
      <c r="C20" s="6"/>
      <c r="D20" s="7"/>
      <c r="E20" s="8"/>
      <c r="F20" s="11"/>
      <c r="G20" s="11"/>
      <c r="H20" s="11"/>
      <c r="I20" s="11"/>
      <c r="J20" s="11"/>
      <c r="K20" s="11"/>
      <c r="L20" s="11"/>
      <c r="M20" s="11"/>
      <c r="N20" s="11"/>
      <c r="O20" s="11"/>
      <c r="P20" s="11"/>
      <c r="Q20" s="8"/>
      <c r="R20" s="8"/>
      <c r="S20" s="2"/>
      <c r="T20" s="2"/>
      <c r="U20" s="2"/>
      <c r="V20" s="2"/>
      <c r="W20" s="2"/>
      <c r="X20" s="2"/>
      <c r="Y20" s="2"/>
      <c r="Z20" s="2"/>
      <c r="AA20" s="2"/>
      <c r="AB20" s="1"/>
    </row>
    <row r="21" spans="1:28" ht="18.75" customHeight="1">
      <c r="A21" s="1"/>
      <c r="B21" s="128" t="s">
        <v>1</v>
      </c>
      <c r="C21" s="129"/>
      <c r="D21" s="129"/>
      <c r="E21" s="129"/>
      <c r="F21" s="129"/>
      <c r="G21" s="129"/>
      <c r="H21" s="129"/>
      <c r="I21" s="129"/>
      <c r="J21" s="129"/>
      <c r="K21" s="129"/>
      <c r="L21" s="129"/>
      <c r="M21" s="129"/>
      <c r="N21" s="129" t="s">
        <v>2</v>
      </c>
      <c r="O21" s="129"/>
      <c r="P21" s="129"/>
      <c r="Q21" s="129"/>
      <c r="R21" s="129" t="s">
        <v>3</v>
      </c>
      <c r="S21" s="129"/>
      <c r="T21" s="129"/>
      <c r="U21" s="129"/>
      <c r="V21" s="129"/>
      <c r="W21" s="129" t="s">
        <v>5</v>
      </c>
      <c r="X21" s="129"/>
      <c r="Y21" s="129"/>
      <c r="Z21" s="129"/>
      <c r="AA21" s="130"/>
      <c r="AB21" s="1"/>
    </row>
    <row r="22" spans="1:28" ht="18.75" customHeight="1">
      <c r="A22" s="1"/>
      <c r="B22" s="118" t="e">
        <f>IF(#REF!="","",#REF!)</f>
        <v>#REF!</v>
      </c>
      <c r="C22" s="118"/>
      <c r="D22" s="118"/>
      <c r="E22" s="118"/>
      <c r="F22" s="118"/>
      <c r="G22" s="118"/>
      <c r="H22" s="118"/>
      <c r="I22" s="118"/>
      <c r="J22" s="118"/>
      <c r="K22" s="118"/>
      <c r="L22" s="118"/>
      <c r="M22" s="118"/>
      <c r="N22" s="119" t="e">
        <f>IF(#REF!="","",#REF!)</f>
        <v>#REF!</v>
      </c>
      <c r="O22" s="119"/>
      <c r="P22" s="119"/>
      <c r="Q22" s="119"/>
      <c r="R22" s="126" t="e">
        <f>IF(#REF!="","",#REF!)</f>
        <v>#REF!</v>
      </c>
      <c r="S22" s="126"/>
      <c r="T22" s="126"/>
      <c r="U22" s="126"/>
      <c r="V22" s="126"/>
      <c r="W22" s="127" t="str">
        <f>IFERROR(N22*R22,"")</f>
        <v/>
      </c>
      <c r="X22" s="127"/>
      <c r="Y22" s="127"/>
      <c r="Z22" s="127"/>
      <c r="AA22" s="127"/>
      <c r="AB22" s="1"/>
    </row>
    <row r="23" spans="1:28" ht="18.75" customHeight="1">
      <c r="A23" s="1"/>
      <c r="B23" s="122" t="e">
        <f>IF(#REF!="","",#REF!)</f>
        <v>#REF!</v>
      </c>
      <c r="C23" s="122"/>
      <c r="D23" s="122"/>
      <c r="E23" s="122"/>
      <c r="F23" s="122"/>
      <c r="G23" s="122"/>
      <c r="H23" s="122"/>
      <c r="I23" s="122"/>
      <c r="J23" s="122"/>
      <c r="K23" s="122"/>
      <c r="L23" s="122"/>
      <c r="M23" s="122"/>
      <c r="N23" s="123" t="e">
        <f>IF(#REF!="","",#REF!)</f>
        <v>#REF!</v>
      </c>
      <c r="O23" s="123"/>
      <c r="P23" s="123"/>
      <c r="Q23" s="123"/>
      <c r="R23" s="124" t="e">
        <f>IF(#REF!="","",#REF!)</f>
        <v>#REF!</v>
      </c>
      <c r="S23" s="124"/>
      <c r="T23" s="124"/>
      <c r="U23" s="124"/>
      <c r="V23" s="124"/>
      <c r="W23" s="125" t="str">
        <f t="shared" ref="W23:W39" si="0">IFERROR(N23*R23,"")</f>
        <v/>
      </c>
      <c r="X23" s="125"/>
      <c r="Y23" s="125"/>
      <c r="Z23" s="125"/>
      <c r="AA23" s="125"/>
      <c r="AB23" s="1"/>
    </row>
    <row r="24" spans="1:28" ht="18.75" customHeight="1">
      <c r="A24" s="1"/>
      <c r="B24" s="118" t="e">
        <f>IF(#REF!="","",#REF!)</f>
        <v>#REF!</v>
      </c>
      <c r="C24" s="118"/>
      <c r="D24" s="118"/>
      <c r="E24" s="118"/>
      <c r="F24" s="118"/>
      <c r="G24" s="118"/>
      <c r="H24" s="118"/>
      <c r="I24" s="118"/>
      <c r="J24" s="118"/>
      <c r="K24" s="118"/>
      <c r="L24" s="118"/>
      <c r="M24" s="118"/>
      <c r="N24" s="119" t="e">
        <f>IF(#REF!="","",#REF!)</f>
        <v>#REF!</v>
      </c>
      <c r="O24" s="119"/>
      <c r="P24" s="119"/>
      <c r="Q24" s="119"/>
      <c r="R24" s="120" t="e">
        <f>IF(#REF!="","",#REF!)</f>
        <v>#REF!</v>
      </c>
      <c r="S24" s="120"/>
      <c r="T24" s="120"/>
      <c r="U24" s="120"/>
      <c r="V24" s="120"/>
      <c r="W24" s="121" t="str">
        <f t="shared" si="0"/>
        <v/>
      </c>
      <c r="X24" s="121"/>
      <c r="Y24" s="121"/>
      <c r="Z24" s="121"/>
      <c r="AA24" s="121"/>
      <c r="AB24" s="1"/>
    </row>
    <row r="25" spans="1:28" ht="18.75" customHeight="1">
      <c r="A25" s="1"/>
      <c r="B25" s="122" t="e">
        <f>IF(#REF!="","",#REF!)</f>
        <v>#REF!</v>
      </c>
      <c r="C25" s="122"/>
      <c r="D25" s="122"/>
      <c r="E25" s="122"/>
      <c r="F25" s="122"/>
      <c r="G25" s="122"/>
      <c r="H25" s="122"/>
      <c r="I25" s="122"/>
      <c r="J25" s="122"/>
      <c r="K25" s="122"/>
      <c r="L25" s="122"/>
      <c r="M25" s="122"/>
      <c r="N25" s="123" t="e">
        <f>IF(#REF!="","",#REF!)</f>
        <v>#REF!</v>
      </c>
      <c r="O25" s="123"/>
      <c r="P25" s="123"/>
      <c r="Q25" s="123"/>
      <c r="R25" s="124" t="e">
        <f>IF(#REF!="","",#REF!)</f>
        <v>#REF!</v>
      </c>
      <c r="S25" s="124"/>
      <c r="T25" s="124"/>
      <c r="U25" s="124"/>
      <c r="V25" s="124"/>
      <c r="W25" s="125" t="str">
        <f t="shared" si="0"/>
        <v/>
      </c>
      <c r="X25" s="125"/>
      <c r="Y25" s="125"/>
      <c r="Z25" s="125"/>
      <c r="AA25" s="125"/>
      <c r="AB25" s="1"/>
    </row>
    <row r="26" spans="1:28" ht="18.75" customHeight="1">
      <c r="A26" s="1"/>
      <c r="B26" s="118" t="e">
        <f>IF(#REF!="","",#REF!)</f>
        <v>#REF!</v>
      </c>
      <c r="C26" s="118"/>
      <c r="D26" s="118"/>
      <c r="E26" s="118"/>
      <c r="F26" s="118"/>
      <c r="G26" s="118"/>
      <c r="H26" s="118"/>
      <c r="I26" s="118"/>
      <c r="J26" s="118"/>
      <c r="K26" s="118"/>
      <c r="L26" s="118"/>
      <c r="M26" s="118"/>
      <c r="N26" s="119" t="e">
        <f>IF(#REF!="","",#REF!)</f>
        <v>#REF!</v>
      </c>
      <c r="O26" s="119"/>
      <c r="P26" s="119"/>
      <c r="Q26" s="119"/>
      <c r="R26" s="120" t="e">
        <f>IF(#REF!="","",#REF!)</f>
        <v>#REF!</v>
      </c>
      <c r="S26" s="120"/>
      <c r="T26" s="120"/>
      <c r="U26" s="120"/>
      <c r="V26" s="120"/>
      <c r="W26" s="121" t="str">
        <f t="shared" si="0"/>
        <v/>
      </c>
      <c r="X26" s="121"/>
      <c r="Y26" s="121"/>
      <c r="Z26" s="121"/>
      <c r="AA26" s="121"/>
      <c r="AB26" s="1"/>
    </row>
    <row r="27" spans="1:28" ht="18.75" customHeight="1">
      <c r="A27" s="1"/>
      <c r="B27" s="122" t="e">
        <f>IF(#REF!="","",#REF!)</f>
        <v>#REF!</v>
      </c>
      <c r="C27" s="122"/>
      <c r="D27" s="122"/>
      <c r="E27" s="122"/>
      <c r="F27" s="122"/>
      <c r="G27" s="122"/>
      <c r="H27" s="122"/>
      <c r="I27" s="122"/>
      <c r="J27" s="122"/>
      <c r="K27" s="122"/>
      <c r="L27" s="122"/>
      <c r="M27" s="122"/>
      <c r="N27" s="123" t="e">
        <f>IF(#REF!="","",#REF!)</f>
        <v>#REF!</v>
      </c>
      <c r="O27" s="123"/>
      <c r="P27" s="123"/>
      <c r="Q27" s="123"/>
      <c r="R27" s="124" t="e">
        <f>IF(#REF!="","",#REF!)</f>
        <v>#REF!</v>
      </c>
      <c r="S27" s="124"/>
      <c r="T27" s="124"/>
      <c r="U27" s="124"/>
      <c r="V27" s="124"/>
      <c r="W27" s="125" t="str">
        <f t="shared" si="0"/>
        <v/>
      </c>
      <c r="X27" s="125"/>
      <c r="Y27" s="125"/>
      <c r="Z27" s="125"/>
      <c r="AA27" s="125"/>
      <c r="AB27" s="1"/>
    </row>
    <row r="28" spans="1:28" ht="18.75" customHeight="1">
      <c r="A28" s="1"/>
      <c r="B28" s="118" t="e">
        <f>IF(#REF!="","",#REF!)</f>
        <v>#REF!</v>
      </c>
      <c r="C28" s="118"/>
      <c r="D28" s="118"/>
      <c r="E28" s="118"/>
      <c r="F28" s="118"/>
      <c r="G28" s="118"/>
      <c r="H28" s="118"/>
      <c r="I28" s="118"/>
      <c r="J28" s="118"/>
      <c r="K28" s="118"/>
      <c r="L28" s="118"/>
      <c r="M28" s="118"/>
      <c r="N28" s="119" t="e">
        <f>IF(#REF!="","",#REF!)</f>
        <v>#REF!</v>
      </c>
      <c r="O28" s="119"/>
      <c r="P28" s="119"/>
      <c r="Q28" s="119"/>
      <c r="R28" s="120" t="e">
        <f>IF(#REF!="","",#REF!)</f>
        <v>#REF!</v>
      </c>
      <c r="S28" s="120"/>
      <c r="T28" s="120"/>
      <c r="U28" s="120"/>
      <c r="V28" s="120"/>
      <c r="W28" s="121" t="str">
        <f t="shared" si="0"/>
        <v/>
      </c>
      <c r="X28" s="121"/>
      <c r="Y28" s="121"/>
      <c r="Z28" s="121"/>
      <c r="AA28" s="121"/>
      <c r="AB28" s="1"/>
    </row>
    <row r="29" spans="1:28" ht="18.75" customHeight="1">
      <c r="A29" s="1"/>
      <c r="B29" s="122" t="e">
        <f>IF(#REF!="","",#REF!)</f>
        <v>#REF!</v>
      </c>
      <c r="C29" s="122"/>
      <c r="D29" s="122"/>
      <c r="E29" s="122"/>
      <c r="F29" s="122"/>
      <c r="G29" s="122"/>
      <c r="H29" s="122"/>
      <c r="I29" s="122"/>
      <c r="J29" s="122"/>
      <c r="K29" s="122"/>
      <c r="L29" s="122"/>
      <c r="M29" s="122"/>
      <c r="N29" s="123" t="e">
        <f>IF(#REF!="","",#REF!)</f>
        <v>#REF!</v>
      </c>
      <c r="O29" s="123"/>
      <c r="P29" s="123"/>
      <c r="Q29" s="123"/>
      <c r="R29" s="124" t="e">
        <f>IF(#REF!="","",#REF!)</f>
        <v>#REF!</v>
      </c>
      <c r="S29" s="124"/>
      <c r="T29" s="124"/>
      <c r="U29" s="124"/>
      <c r="V29" s="124"/>
      <c r="W29" s="125" t="str">
        <f t="shared" si="0"/>
        <v/>
      </c>
      <c r="X29" s="125"/>
      <c r="Y29" s="125"/>
      <c r="Z29" s="125"/>
      <c r="AA29" s="125"/>
      <c r="AB29" s="1"/>
    </row>
    <row r="30" spans="1:28" ht="18.75" customHeight="1">
      <c r="A30" s="1"/>
      <c r="B30" s="118" t="e">
        <f>IF(#REF!="","",#REF!)</f>
        <v>#REF!</v>
      </c>
      <c r="C30" s="118"/>
      <c r="D30" s="118"/>
      <c r="E30" s="118"/>
      <c r="F30" s="118"/>
      <c r="G30" s="118"/>
      <c r="H30" s="118"/>
      <c r="I30" s="118"/>
      <c r="J30" s="118"/>
      <c r="K30" s="118"/>
      <c r="L30" s="118"/>
      <c r="M30" s="118"/>
      <c r="N30" s="119" t="e">
        <f>IF(#REF!="","",#REF!)</f>
        <v>#REF!</v>
      </c>
      <c r="O30" s="119"/>
      <c r="P30" s="119"/>
      <c r="Q30" s="119"/>
      <c r="R30" s="120" t="e">
        <f>IF(#REF!="","",#REF!)</f>
        <v>#REF!</v>
      </c>
      <c r="S30" s="120"/>
      <c r="T30" s="120"/>
      <c r="U30" s="120"/>
      <c r="V30" s="120"/>
      <c r="W30" s="121" t="str">
        <f t="shared" si="0"/>
        <v/>
      </c>
      <c r="X30" s="121"/>
      <c r="Y30" s="121"/>
      <c r="Z30" s="121"/>
      <c r="AA30" s="121"/>
      <c r="AB30" s="1"/>
    </row>
    <row r="31" spans="1:28" ht="18.75" customHeight="1">
      <c r="A31" s="1"/>
      <c r="B31" s="122" t="e">
        <f>IF(#REF!="","",#REF!)</f>
        <v>#REF!</v>
      </c>
      <c r="C31" s="122"/>
      <c r="D31" s="122"/>
      <c r="E31" s="122"/>
      <c r="F31" s="122"/>
      <c r="G31" s="122"/>
      <c r="H31" s="122"/>
      <c r="I31" s="122"/>
      <c r="J31" s="122"/>
      <c r="K31" s="122"/>
      <c r="L31" s="122"/>
      <c r="M31" s="122"/>
      <c r="N31" s="123" t="e">
        <f>IF(#REF!="","",#REF!)</f>
        <v>#REF!</v>
      </c>
      <c r="O31" s="123"/>
      <c r="P31" s="123"/>
      <c r="Q31" s="123"/>
      <c r="R31" s="124" t="e">
        <f>IF(#REF!="","",#REF!)</f>
        <v>#REF!</v>
      </c>
      <c r="S31" s="124"/>
      <c r="T31" s="124"/>
      <c r="U31" s="124"/>
      <c r="V31" s="124"/>
      <c r="W31" s="125" t="str">
        <f t="shared" si="0"/>
        <v/>
      </c>
      <c r="X31" s="125"/>
      <c r="Y31" s="125"/>
      <c r="Z31" s="125"/>
      <c r="AA31" s="125"/>
      <c r="AB31" s="1"/>
    </row>
    <row r="32" spans="1:28" ht="18.75" customHeight="1">
      <c r="A32" s="1"/>
      <c r="B32" s="118" t="e">
        <f>IF(#REF!="","",#REF!)</f>
        <v>#REF!</v>
      </c>
      <c r="C32" s="118"/>
      <c r="D32" s="118"/>
      <c r="E32" s="118"/>
      <c r="F32" s="118"/>
      <c r="G32" s="118"/>
      <c r="H32" s="118"/>
      <c r="I32" s="118"/>
      <c r="J32" s="118"/>
      <c r="K32" s="118"/>
      <c r="L32" s="118"/>
      <c r="M32" s="118"/>
      <c r="N32" s="119" t="e">
        <f>IF(#REF!="","",#REF!)</f>
        <v>#REF!</v>
      </c>
      <c r="O32" s="119"/>
      <c r="P32" s="119"/>
      <c r="Q32" s="119"/>
      <c r="R32" s="120" t="e">
        <f>IF(#REF!="","",#REF!)</f>
        <v>#REF!</v>
      </c>
      <c r="S32" s="120"/>
      <c r="T32" s="120"/>
      <c r="U32" s="120"/>
      <c r="V32" s="120"/>
      <c r="W32" s="121" t="str">
        <f t="shared" si="0"/>
        <v/>
      </c>
      <c r="X32" s="121"/>
      <c r="Y32" s="121"/>
      <c r="Z32" s="121"/>
      <c r="AA32" s="121"/>
      <c r="AB32" s="1"/>
    </row>
    <row r="33" spans="1:28" ht="18.75" customHeight="1">
      <c r="A33" s="1"/>
      <c r="B33" s="122" t="e">
        <f>IF(#REF!="","",#REF!)</f>
        <v>#REF!</v>
      </c>
      <c r="C33" s="122"/>
      <c r="D33" s="122"/>
      <c r="E33" s="122"/>
      <c r="F33" s="122"/>
      <c r="G33" s="122"/>
      <c r="H33" s="122"/>
      <c r="I33" s="122"/>
      <c r="J33" s="122"/>
      <c r="K33" s="122"/>
      <c r="L33" s="122"/>
      <c r="M33" s="122"/>
      <c r="N33" s="123" t="e">
        <f>IF(#REF!="","",#REF!)</f>
        <v>#REF!</v>
      </c>
      <c r="O33" s="123"/>
      <c r="P33" s="123"/>
      <c r="Q33" s="123"/>
      <c r="R33" s="124" t="e">
        <f>IF(#REF!="","",#REF!)</f>
        <v>#REF!</v>
      </c>
      <c r="S33" s="124"/>
      <c r="T33" s="124"/>
      <c r="U33" s="124"/>
      <c r="V33" s="124"/>
      <c r="W33" s="125" t="str">
        <f t="shared" si="0"/>
        <v/>
      </c>
      <c r="X33" s="125"/>
      <c r="Y33" s="125"/>
      <c r="Z33" s="125"/>
      <c r="AA33" s="125"/>
      <c r="AB33" s="1"/>
    </row>
    <row r="34" spans="1:28" ht="18.75" customHeight="1">
      <c r="A34" s="1"/>
      <c r="B34" s="118" t="e">
        <f>IF(#REF!="","",#REF!)</f>
        <v>#REF!</v>
      </c>
      <c r="C34" s="118"/>
      <c r="D34" s="118"/>
      <c r="E34" s="118"/>
      <c r="F34" s="118"/>
      <c r="G34" s="118"/>
      <c r="H34" s="118"/>
      <c r="I34" s="118"/>
      <c r="J34" s="118"/>
      <c r="K34" s="118"/>
      <c r="L34" s="118"/>
      <c r="M34" s="118"/>
      <c r="N34" s="119" t="e">
        <f>IF(#REF!="","",#REF!)</f>
        <v>#REF!</v>
      </c>
      <c r="O34" s="119"/>
      <c r="P34" s="119"/>
      <c r="Q34" s="119"/>
      <c r="R34" s="120" t="e">
        <f>IF(#REF!="","",#REF!)</f>
        <v>#REF!</v>
      </c>
      <c r="S34" s="120"/>
      <c r="T34" s="120"/>
      <c r="U34" s="120"/>
      <c r="V34" s="120"/>
      <c r="W34" s="121" t="str">
        <f t="shared" si="0"/>
        <v/>
      </c>
      <c r="X34" s="121"/>
      <c r="Y34" s="121"/>
      <c r="Z34" s="121"/>
      <c r="AA34" s="121"/>
      <c r="AB34" s="1"/>
    </row>
    <row r="35" spans="1:28" ht="18.75" customHeight="1">
      <c r="A35" s="1"/>
      <c r="B35" s="122" t="e">
        <f>IF(#REF!="","",#REF!)</f>
        <v>#REF!</v>
      </c>
      <c r="C35" s="122"/>
      <c r="D35" s="122"/>
      <c r="E35" s="122"/>
      <c r="F35" s="122"/>
      <c r="G35" s="122"/>
      <c r="H35" s="122"/>
      <c r="I35" s="122"/>
      <c r="J35" s="122"/>
      <c r="K35" s="122"/>
      <c r="L35" s="122"/>
      <c r="M35" s="122"/>
      <c r="N35" s="123" t="e">
        <f>IF(#REF!="","",#REF!)</f>
        <v>#REF!</v>
      </c>
      <c r="O35" s="123"/>
      <c r="P35" s="123"/>
      <c r="Q35" s="123"/>
      <c r="R35" s="124" t="e">
        <f>IF(#REF!="","",#REF!)</f>
        <v>#REF!</v>
      </c>
      <c r="S35" s="124"/>
      <c r="T35" s="124"/>
      <c r="U35" s="124"/>
      <c r="V35" s="124"/>
      <c r="W35" s="125" t="str">
        <f t="shared" si="0"/>
        <v/>
      </c>
      <c r="X35" s="125"/>
      <c r="Y35" s="125"/>
      <c r="Z35" s="125"/>
      <c r="AA35" s="125"/>
      <c r="AB35" s="1"/>
    </row>
    <row r="36" spans="1:28" ht="18.75" customHeight="1">
      <c r="A36" s="1"/>
      <c r="B36" s="118" t="e">
        <f>IF(#REF!="","",#REF!)</f>
        <v>#REF!</v>
      </c>
      <c r="C36" s="118"/>
      <c r="D36" s="118"/>
      <c r="E36" s="118"/>
      <c r="F36" s="118"/>
      <c r="G36" s="118"/>
      <c r="H36" s="118"/>
      <c r="I36" s="118"/>
      <c r="J36" s="118"/>
      <c r="K36" s="118"/>
      <c r="L36" s="118"/>
      <c r="M36" s="118"/>
      <c r="N36" s="119" t="e">
        <f>IF(#REF!="","",#REF!)</f>
        <v>#REF!</v>
      </c>
      <c r="O36" s="119"/>
      <c r="P36" s="119"/>
      <c r="Q36" s="119"/>
      <c r="R36" s="120" t="e">
        <f>IF(#REF!="","",#REF!)</f>
        <v>#REF!</v>
      </c>
      <c r="S36" s="120"/>
      <c r="T36" s="120"/>
      <c r="U36" s="120"/>
      <c r="V36" s="120"/>
      <c r="W36" s="121" t="str">
        <f t="shared" si="0"/>
        <v/>
      </c>
      <c r="X36" s="121"/>
      <c r="Y36" s="121"/>
      <c r="Z36" s="121"/>
      <c r="AA36" s="121"/>
      <c r="AB36" s="1"/>
    </row>
    <row r="37" spans="1:28" ht="18.75" customHeight="1">
      <c r="A37" s="1"/>
      <c r="B37" s="122" t="e">
        <f>IF(#REF!="","",#REF!)</f>
        <v>#REF!</v>
      </c>
      <c r="C37" s="122"/>
      <c r="D37" s="122"/>
      <c r="E37" s="122"/>
      <c r="F37" s="122"/>
      <c r="G37" s="122"/>
      <c r="H37" s="122"/>
      <c r="I37" s="122"/>
      <c r="J37" s="122"/>
      <c r="K37" s="122"/>
      <c r="L37" s="122"/>
      <c r="M37" s="122"/>
      <c r="N37" s="123" t="e">
        <f>IF(#REF!="","",#REF!)</f>
        <v>#REF!</v>
      </c>
      <c r="O37" s="123"/>
      <c r="P37" s="123"/>
      <c r="Q37" s="123"/>
      <c r="R37" s="124" t="e">
        <f>IF(#REF!="","",#REF!)</f>
        <v>#REF!</v>
      </c>
      <c r="S37" s="124"/>
      <c r="T37" s="124"/>
      <c r="U37" s="124"/>
      <c r="V37" s="124"/>
      <c r="W37" s="125" t="str">
        <f t="shared" si="0"/>
        <v/>
      </c>
      <c r="X37" s="125"/>
      <c r="Y37" s="125"/>
      <c r="Z37" s="125"/>
      <c r="AA37" s="125"/>
      <c r="AB37" s="1"/>
    </row>
    <row r="38" spans="1:28" ht="18.75" customHeight="1">
      <c r="A38" s="1"/>
      <c r="B38" s="118" t="e">
        <f>IF(#REF!="","",#REF!)</f>
        <v>#REF!</v>
      </c>
      <c r="C38" s="118"/>
      <c r="D38" s="118"/>
      <c r="E38" s="118"/>
      <c r="F38" s="118"/>
      <c r="G38" s="118"/>
      <c r="H38" s="118"/>
      <c r="I38" s="118"/>
      <c r="J38" s="118"/>
      <c r="K38" s="118"/>
      <c r="L38" s="118"/>
      <c r="M38" s="118"/>
      <c r="N38" s="119" t="e">
        <f>IF(#REF!="","",#REF!)</f>
        <v>#REF!</v>
      </c>
      <c r="O38" s="119"/>
      <c r="P38" s="119"/>
      <c r="Q38" s="119"/>
      <c r="R38" s="120" t="e">
        <f>IF(#REF!="","",#REF!)</f>
        <v>#REF!</v>
      </c>
      <c r="S38" s="120"/>
      <c r="T38" s="120"/>
      <c r="U38" s="120"/>
      <c r="V38" s="120"/>
      <c r="W38" s="121" t="str">
        <f t="shared" si="0"/>
        <v/>
      </c>
      <c r="X38" s="121"/>
      <c r="Y38" s="121"/>
      <c r="Z38" s="121"/>
      <c r="AA38" s="121"/>
      <c r="AB38" s="1"/>
    </row>
    <row r="39" spans="1:28" ht="18.75" customHeight="1">
      <c r="A39" s="1"/>
      <c r="B39" s="122" t="e">
        <f>IF(#REF!="","",#REF!)</f>
        <v>#REF!</v>
      </c>
      <c r="C39" s="122"/>
      <c r="D39" s="122"/>
      <c r="E39" s="122"/>
      <c r="F39" s="122"/>
      <c r="G39" s="122"/>
      <c r="H39" s="122"/>
      <c r="I39" s="122"/>
      <c r="J39" s="122"/>
      <c r="K39" s="122"/>
      <c r="L39" s="122"/>
      <c r="M39" s="122"/>
      <c r="N39" s="123" t="e">
        <f>IF(#REF!="","",#REF!)</f>
        <v>#REF!</v>
      </c>
      <c r="O39" s="123"/>
      <c r="P39" s="123"/>
      <c r="Q39" s="123"/>
      <c r="R39" s="124" t="e">
        <f>IF(#REF!="","",#REF!)</f>
        <v>#REF!</v>
      </c>
      <c r="S39" s="124"/>
      <c r="T39" s="124"/>
      <c r="U39" s="124"/>
      <c r="V39" s="124"/>
      <c r="W39" s="125" t="str">
        <f t="shared" si="0"/>
        <v/>
      </c>
      <c r="X39" s="125"/>
      <c r="Y39" s="125"/>
      <c r="Z39" s="125"/>
      <c r="AA39" s="125"/>
      <c r="AB39" s="1"/>
    </row>
    <row r="40" spans="1:28" ht="18.75" customHeight="1" thickBot="1">
      <c r="A40" s="1"/>
      <c r="B40" s="15"/>
      <c r="C40" s="15"/>
      <c r="D40" s="15"/>
      <c r="E40" s="15"/>
      <c r="F40" s="15"/>
      <c r="G40" s="15"/>
      <c r="H40" s="15"/>
      <c r="I40" s="15"/>
      <c r="J40" s="15"/>
      <c r="K40" s="15"/>
      <c r="L40" s="15"/>
      <c r="M40" s="15"/>
      <c r="N40" s="12"/>
      <c r="O40" s="12"/>
      <c r="P40" s="12"/>
      <c r="Q40" s="12"/>
      <c r="R40" s="13"/>
      <c r="S40" s="13"/>
      <c r="T40" s="13"/>
      <c r="U40" s="13"/>
      <c r="V40" s="13"/>
      <c r="W40" s="14"/>
      <c r="X40" s="14"/>
      <c r="Y40" s="14"/>
      <c r="Z40" s="14"/>
      <c r="AA40" s="14"/>
      <c r="AB40" s="1"/>
    </row>
    <row r="41" spans="1:28" ht="18" customHeight="1">
      <c r="A41" s="1"/>
      <c r="B41" s="109" t="s">
        <v>16</v>
      </c>
      <c r="C41" s="110"/>
      <c r="D41" s="110"/>
      <c r="E41" s="111"/>
      <c r="F41" s="111"/>
      <c r="G41" s="111"/>
      <c r="H41" s="111"/>
      <c r="I41" s="111"/>
      <c r="J41" s="111"/>
      <c r="K41" s="111"/>
      <c r="L41" s="111"/>
      <c r="M41" s="111"/>
      <c r="N41" s="111"/>
      <c r="O41" s="111"/>
      <c r="P41" s="112"/>
      <c r="Q41" s="1"/>
      <c r="R41" s="113" t="s">
        <v>4</v>
      </c>
      <c r="S41" s="113"/>
      <c r="T41" s="113"/>
      <c r="U41" s="113"/>
      <c r="V41" s="113"/>
      <c r="W41" s="105" t="str">
        <f>IF(SUM(W22:AA39)=0,"",SUM(W22:AA39))</f>
        <v/>
      </c>
      <c r="X41" s="105"/>
      <c r="Y41" s="105"/>
      <c r="Z41" s="105"/>
      <c r="AA41" s="105"/>
      <c r="AB41" s="1"/>
    </row>
    <row r="42" spans="1:28" ht="18" customHeight="1">
      <c r="A42" s="1"/>
      <c r="B42" s="114" t="s">
        <v>20</v>
      </c>
      <c r="C42" s="115"/>
      <c r="D42" s="115"/>
      <c r="E42" s="115"/>
      <c r="F42" s="115"/>
      <c r="G42" s="115"/>
      <c r="H42" s="115"/>
      <c r="I42" s="115"/>
      <c r="J42" s="115"/>
      <c r="K42" s="115"/>
      <c r="L42" s="115"/>
      <c r="M42" s="115"/>
      <c r="N42" s="115"/>
      <c r="O42" s="115"/>
      <c r="P42" s="116"/>
      <c r="Q42" s="1"/>
      <c r="R42" s="117" t="s">
        <v>15</v>
      </c>
      <c r="S42" s="117"/>
      <c r="T42" s="117"/>
      <c r="U42" s="117"/>
      <c r="V42" s="117"/>
      <c r="W42" s="47" t="str">
        <f>IF(W41="","",W41*#REF!)</f>
        <v/>
      </c>
      <c r="X42" s="47"/>
      <c r="Y42" s="47"/>
      <c r="Z42" s="47"/>
      <c r="AA42" s="47"/>
      <c r="AB42" s="1"/>
    </row>
    <row r="43" spans="1:28" ht="18" customHeight="1" thickBot="1">
      <c r="A43" s="1"/>
      <c r="B43" s="101" t="s">
        <v>17</v>
      </c>
      <c r="C43" s="102"/>
      <c r="D43" s="102"/>
      <c r="E43" s="102"/>
      <c r="F43" s="102"/>
      <c r="G43" s="102"/>
      <c r="H43" s="102"/>
      <c r="I43" s="102"/>
      <c r="J43" s="102"/>
      <c r="K43" s="102"/>
      <c r="L43" s="102"/>
      <c r="M43" s="102"/>
      <c r="N43" s="102"/>
      <c r="O43" s="102"/>
      <c r="P43" s="103"/>
      <c r="Q43" s="1"/>
      <c r="R43" s="104" t="s">
        <v>5</v>
      </c>
      <c r="S43" s="104"/>
      <c r="T43" s="104"/>
      <c r="U43" s="104"/>
      <c r="V43" s="104"/>
      <c r="W43" s="105" t="str">
        <f>IF(W41="","",SUM(W41:AA42))</f>
        <v/>
      </c>
      <c r="X43" s="105"/>
      <c r="Y43" s="105"/>
      <c r="Z43" s="105"/>
      <c r="AA43" s="105"/>
      <c r="AB43" s="1"/>
    </row>
    <row r="44" spans="1:28">
      <c r="A44" s="1"/>
      <c r="B44" s="106" t="s">
        <v>18</v>
      </c>
      <c r="C44" s="106"/>
      <c r="D44" s="106"/>
      <c r="E44" s="106"/>
      <c r="F44" s="106"/>
      <c r="G44" s="106"/>
      <c r="H44" s="106"/>
      <c r="I44" s="106"/>
      <c r="J44" s="106"/>
      <c r="K44" s="106"/>
      <c r="L44" s="106"/>
      <c r="M44" s="106"/>
      <c r="N44" s="106"/>
      <c r="O44" s="106"/>
      <c r="P44" s="106"/>
      <c r="Q44" s="106"/>
      <c r="R44" s="106"/>
      <c r="S44" s="7"/>
      <c r="T44" s="7"/>
      <c r="U44" s="1"/>
      <c r="V44" s="1"/>
      <c r="W44" s="1"/>
      <c r="X44" s="1"/>
      <c r="Y44" s="1"/>
      <c r="Z44" s="1"/>
      <c r="AA44" s="1"/>
      <c r="AB44" s="1"/>
    </row>
    <row r="45" spans="1:28">
      <c r="A45" s="1"/>
      <c r="B45" s="107" t="s">
        <v>21</v>
      </c>
      <c r="C45" s="107"/>
      <c r="D45" s="107"/>
      <c r="E45" s="107"/>
      <c r="F45" s="107"/>
      <c r="G45" s="107"/>
      <c r="H45" s="107"/>
      <c r="I45" s="107"/>
      <c r="J45" s="107"/>
      <c r="K45" s="107"/>
      <c r="L45" s="107"/>
      <c r="M45" s="107"/>
      <c r="N45" s="107"/>
      <c r="O45" s="107"/>
      <c r="P45" s="107"/>
      <c r="Q45" s="107"/>
      <c r="R45" s="107"/>
      <c r="S45" s="7"/>
      <c r="T45" s="7"/>
      <c r="U45" s="1"/>
      <c r="V45" s="1"/>
      <c r="W45" s="1"/>
      <c r="X45" s="1"/>
      <c r="Y45" s="1"/>
      <c r="Z45" s="1"/>
      <c r="AA45" s="1"/>
      <c r="AB45" s="1"/>
    </row>
    <row r="46" spans="1:28">
      <c r="A46" s="1"/>
      <c r="B46" s="1"/>
      <c r="C46" s="1"/>
      <c r="D46" s="1"/>
      <c r="E46" s="1"/>
      <c r="F46" s="1"/>
      <c r="G46" s="1"/>
      <c r="H46" s="1"/>
      <c r="I46" s="1"/>
      <c r="J46" s="1"/>
      <c r="K46" s="1"/>
      <c r="L46" s="1"/>
      <c r="M46" s="1"/>
      <c r="N46" s="1"/>
      <c r="O46" s="1"/>
      <c r="P46" s="1"/>
      <c r="Q46" s="1"/>
      <c r="R46" s="1"/>
      <c r="S46" s="7"/>
      <c r="T46" s="7"/>
      <c r="U46" s="1"/>
      <c r="V46" s="1"/>
      <c r="W46" s="1"/>
      <c r="X46" s="1"/>
      <c r="Y46" s="1"/>
      <c r="Z46" s="1"/>
      <c r="AA46" s="1"/>
      <c r="AB46" s="1"/>
    </row>
    <row r="47" spans="1:28">
      <c r="A47" s="1"/>
      <c r="B47" s="1"/>
      <c r="C47" s="1"/>
      <c r="D47" s="1"/>
      <c r="E47" s="1"/>
      <c r="F47" s="1"/>
      <c r="G47" s="1"/>
      <c r="H47" s="1"/>
      <c r="I47" s="1"/>
      <c r="J47" s="1"/>
      <c r="K47" s="1"/>
      <c r="L47" s="1"/>
      <c r="M47" s="1"/>
      <c r="N47" s="1"/>
      <c r="O47" s="1"/>
      <c r="P47" s="1"/>
      <c r="Q47" s="1"/>
      <c r="R47" s="1"/>
      <c r="S47" s="7"/>
      <c r="T47" s="7"/>
      <c r="U47" s="1"/>
      <c r="V47" s="1"/>
      <c r="W47" s="1"/>
      <c r="X47" s="1"/>
      <c r="Y47" s="1"/>
      <c r="Z47" s="1"/>
      <c r="AA47" s="1"/>
      <c r="AB47" s="1"/>
    </row>
    <row r="48" spans="1:28">
      <c r="A48" s="1"/>
      <c r="B48" s="1"/>
      <c r="C48" s="1"/>
      <c r="D48" s="1"/>
      <c r="E48" s="1"/>
      <c r="F48" s="1"/>
      <c r="G48" s="1"/>
      <c r="H48" s="1"/>
      <c r="I48" s="1"/>
      <c r="J48" s="1"/>
      <c r="K48" s="1"/>
      <c r="L48" s="1"/>
      <c r="M48" s="1"/>
      <c r="N48" s="1"/>
      <c r="O48" s="1"/>
      <c r="P48" s="1"/>
      <c r="Q48" s="1"/>
      <c r="R48" s="1"/>
      <c r="S48" s="7"/>
      <c r="T48" s="7"/>
      <c r="U48" s="1"/>
      <c r="V48" s="1"/>
      <c r="W48" s="1"/>
      <c r="X48" s="1"/>
      <c r="Y48" s="1"/>
      <c r="Z48" s="1"/>
      <c r="AA48" s="1"/>
      <c r="AB48" s="1"/>
    </row>
    <row r="49" spans="1:28">
      <c r="A49" s="1"/>
      <c r="B49" s="1"/>
      <c r="C49" s="1"/>
      <c r="D49" s="1"/>
      <c r="E49" s="1"/>
      <c r="F49" s="1"/>
      <c r="G49" s="1"/>
      <c r="H49" s="1"/>
      <c r="I49" s="1"/>
      <c r="J49" s="1"/>
      <c r="K49" s="1"/>
      <c r="L49" s="1"/>
      <c r="M49" s="1"/>
      <c r="N49" s="1"/>
      <c r="O49" s="1"/>
      <c r="P49" s="1"/>
      <c r="Q49" s="1"/>
      <c r="R49" s="1"/>
      <c r="S49" s="7"/>
      <c r="T49" s="29" t="e">
        <f>IF(#REF!="","","請求書番号")</f>
        <v>#REF!</v>
      </c>
      <c r="U49" s="29"/>
      <c r="V49" s="29"/>
      <c r="W49" s="29"/>
      <c r="X49" s="108" t="e">
        <f>IF(#REF!="","",#REF!)</f>
        <v>#REF!</v>
      </c>
      <c r="Y49" s="85"/>
      <c r="Z49" s="85"/>
      <c r="AA49" s="85"/>
      <c r="AB49" s="1"/>
    </row>
    <row r="50" spans="1:28">
      <c r="A50" s="1"/>
      <c r="B50" s="1"/>
      <c r="C50" s="1"/>
      <c r="D50" s="1"/>
      <c r="E50" s="1"/>
      <c r="F50" s="1"/>
      <c r="G50" s="1"/>
      <c r="H50" s="1"/>
      <c r="I50" s="1"/>
      <c r="J50" s="1"/>
      <c r="K50" s="1"/>
      <c r="L50" s="1"/>
      <c r="M50" s="1"/>
      <c r="N50" s="1"/>
      <c r="O50" s="1"/>
      <c r="P50" s="1"/>
      <c r="Q50" s="1"/>
      <c r="R50" s="1"/>
      <c r="S50" s="7"/>
      <c r="T50" s="7"/>
      <c r="U50" s="1"/>
      <c r="V50" s="1"/>
      <c r="W50" s="1"/>
      <c r="X50" s="1"/>
      <c r="Y50" s="1"/>
      <c r="Z50" s="1"/>
      <c r="AA50" s="1"/>
      <c r="AB50" s="1"/>
    </row>
    <row r="51" spans="1:28">
      <c r="A51" s="1"/>
      <c r="B51" s="1"/>
      <c r="C51" s="1"/>
      <c r="D51" s="1"/>
      <c r="E51" s="1"/>
      <c r="F51" s="1"/>
      <c r="G51" s="1"/>
      <c r="H51" s="1"/>
      <c r="I51" s="1"/>
      <c r="J51" s="1"/>
      <c r="K51" s="1"/>
      <c r="L51" s="1"/>
      <c r="M51" s="1"/>
      <c r="N51" s="1"/>
      <c r="O51" s="1"/>
      <c r="P51" s="1"/>
      <c r="Q51" s="1"/>
      <c r="R51" s="1"/>
      <c r="S51" s="7"/>
      <c r="T51" s="7"/>
      <c r="U51" s="1"/>
      <c r="V51" s="1"/>
      <c r="W51" s="1"/>
      <c r="X51" s="1"/>
      <c r="Y51" s="1"/>
      <c r="Z51" s="1"/>
      <c r="AA51" s="1"/>
      <c r="AB51" s="1"/>
    </row>
    <row r="52" spans="1:28">
      <c r="A52" s="1"/>
      <c r="B52" s="1"/>
      <c r="C52" s="1"/>
      <c r="D52" s="1"/>
      <c r="E52" s="1"/>
      <c r="F52" s="1"/>
      <c r="G52" s="1"/>
      <c r="H52" s="1"/>
      <c r="I52" s="1"/>
      <c r="J52" s="1"/>
      <c r="K52" s="1"/>
      <c r="L52" s="1"/>
      <c r="M52" s="1"/>
      <c r="N52" s="1"/>
      <c r="O52" s="1"/>
      <c r="P52" s="1"/>
      <c r="Q52" s="1"/>
      <c r="R52" s="1"/>
      <c r="S52" s="7"/>
      <c r="T52" s="7"/>
      <c r="U52" s="1"/>
      <c r="V52" s="1"/>
      <c r="W52" s="1"/>
      <c r="X52" s="1"/>
      <c r="Y52" s="1"/>
      <c r="Z52" s="1"/>
      <c r="AA52" s="1"/>
      <c r="AB52" s="1"/>
    </row>
    <row r="53" spans="1:28">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c r="S54" s="1"/>
      <c r="T54" s="1"/>
      <c r="U54" s="1"/>
      <c r="V54" s="1"/>
      <c r="W54" s="1"/>
      <c r="X54" s="1"/>
      <c r="Y54" s="1"/>
      <c r="Z54" s="1"/>
      <c r="AA54" s="1"/>
    </row>
  </sheetData>
  <mergeCells count="123">
    <mergeCell ref="B9:N9"/>
    <mergeCell ref="S10:AA10"/>
    <mergeCell ref="S11:AA11"/>
    <mergeCell ref="S12:AA12"/>
    <mergeCell ref="B2:H2"/>
    <mergeCell ref="B3:D3"/>
    <mergeCell ref="E3:H3"/>
    <mergeCell ref="Q3:AB6"/>
    <mergeCell ref="B5:N6"/>
    <mergeCell ref="B8:N8"/>
    <mergeCell ref="S8:AA8"/>
    <mergeCell ref="B10:N10"/>
    <mergeCell ref="V16:AA16"/>
    <mergeCell ref="S17:U17"/>
    <mergeCell ref="V17:AA17"/>
    <mergeCell ref="B18:E18"/>
    <mergeCell ref="F18:O18"/>
    <mergeCell ref="S18:U18"/>
    <mergeCell ref="V18:AA18"/>
    <mergeCell ref="S13:U13"/>
    <mergeCell ref="V13:AA13"/>
    <mergeCell ref="S14:U14"/>
    <mergeCell ref="V14:AA14"/>
    <mergeCell ref="B15:E16"/>
    <mergeCell ref="F15:M16"/>
    <mergeCell ref="N15:O16"/>
    <mergeCell ref="S15:U15"/>
    <mergeCell ref="V15:AA15"/>
    <mergeCell ref="S16:U16"/>
    <mergeCell ref="B22:M22"/>
    <mergeCell ref="N22:Q22"/>
    <mergeCell ref="R22:V22"/>
    <mergeCell ref="W22:AA22"/>
    <mergeCell ref="B23:M23"/>
    <mergeCell ref="N23:Q23"/>
    <mergeCell ref="R23:V23"/>
    <mergeCell ref="W23:AA23"/>
    <mergeCell ref="B19:E19"/>
    <mergeCell ref="F19:O19"/>
    <mergeCell ref="S19:U19"/>
    <mergeCell ref="V19:AA19"/>
    <mergeCell ref="B21:M21"/>
    <mergeCell ref="N21:Q21"/>
    <mergeCell ref="R21:V21"/>
    <mergeCell ref="W21:AA21"/>
    <mergeCell ref="B26:M26"/>
    <mergeCell ref="N26:Q26"/>
    <mergeCell ref="R26:V26"/>
    <mergeCell ref="W26:AA26"/>
    <mergeCell ref="B27:M27"/>
    <mergeCell ref="N27:Q27"/>
    <mergeCell ref="R27:V27"/>
    <mergeCell ref="W27:AA27"/>
    <mergeCell ref="B24:M24"/>
    <mergeCell ref="N24:Q24"/>
    <mergeCell ref="R24:V24"/>
    <mergeCell ref="W24:AA24"/>
    <mergeCell ref="B25:M25"/>
    <mergeCell ref="N25:Q25"/>
    <mergeCell ref="R25:V25"/>
    <mergeCell ref="W25:AA25"/>
    <mergeCell ref="B30:M30"/>
    <mergeCell ref="N30:Q30"/>
    <mergeCell ref="R30:V30"/>
    <mergeCell ref="W30:AA30"/>
    <mergeCell ref="B31:M31"/>
    <mergeCell ref="N31:Q31"/>
    <mergeCell ref="R31:V31"/>
    <mergeCell ref="W31:AA31"/>
    <mergeCell ref="B28:M28"/>
    <mergeCell ref="N28:Q28"/>
    <mergeCell ref="R28:V28"/>
    <mergeCell ref="W28:AA28"/>
    <mergeCell ref="B29:M29"/>
    <mergeCell ref="N29:Q29"/>
    <mergeCell ref="R29:V29"/>
    <mergeCell ref="W29:AA29"/>
    <mergeCell ref="B34:M34"/>
    <mergeCell ref="N34:Q34"/>
    <mergeCell ref="R34:V34"/>
    <mergeCell ref="W34:AA34"/>
    <mergeCell ref="B35:M35"/>
    <mergeCell ref="N35:Q35"/>
    <mergeCell ref="R35:V35"/>
    <mergeCell ref="W35:AA35"/>
    <mergeCell ref="B32:M32"/>
    <mergeCell ref="N32:Q32"/>
    <mergeCell ref="R32:V32"/>
    <mergeCell ref="W32:AA32"/>
    <mergeCell ref="B33:M33"/>
    <mergeCell ref="N33:Q33"/>
    <mergeCell ref="R33:V33"/>
    <mergeCell ref="W33:AA33"/>
    <mergeCell ref="B38:M38"/>
    <mergeCell ref="N38:Q38"/>
    <mergeCell ref="R38:V38"/>
    <mergeCell ref="W38:AA38"/>
    <mergeCell ref="B39:M39"/>
    <mergeCell ref="N39:Q39"/>
    <mergeCell ref="R39:V39"/>
    <mergeCell ref="W39:AA39"/>
    <mergeCell ref="B36:M36"/>
    <mergeCell ref="N36:Q36"/>
    <mergeCell ref="R36:V36"/>
    <mergeCell ref="W36:AA36"/>
    <mergeCell ref="B37:M37"/>
    <mergeCell ref="N37:Q37"/>
    <mergeCell ref="R37:V37"/>
    <mergeCell ref="W37:AA37"/>
    <mergeCell ref="B43:P43"/>
    <mergeCell ref="R43:V43"/>
    <mergeCell ref="W43:AA43"/>
    <mergeCell ref="B44:R44"/>
    <mergeCell ref="B45:R45"/>
    <mergeCell ref="T49:W49"/>
    <mergeCell ref="X49:AA49"/>
    <mergeCell ref="B41:D41"/>
    <mergeCell ref="E41:P41"/>
    <mergeCell ref="R41:V41"/>
    <mergeCell ref="W41:AA41"/>
    <mergeCell ref="B42:P42"/>
    <mergeCell ref="R42:V42"/>
    <mergeCell ref="W42:AA42"/>
  </mergeCells>
  <phoneticPr fontId="1"/>
  <printOptions horizontalCentered="1" verticalCentered="1"/>
  <pageMargins left="3.937007874015748E-2" right="3.937007874015748E-2" top="0.55118110236220474" bottom="0.59055118110236227" header="0.31496062992125984" footer="0.31496062992125984"/>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B1:BK38"/>
  <sheetViews>
    <sheetView view="pageBreakPreview" topLeftCell="A10" zoomScale="130" zoomScaleNormal="100" zoomScaleSheetLayoutView="130" workbookViewId="0">
      <selection activeCell="AR35" sqref="AR35:BJ38"/>
    </sheetView>
  </sheetViews>
  <sheetFormatPr baseColWidth="10" defaultColWidth="9" defaultRowHeight="16"/>
  <cols>
    <col min="1" max="69" width="2.1640625" style="17" customWidth="1"/>
    <col min="70" max="16384" width="9" style="17"/>
  </cols>
  <sheetData>
    <row r="1" spans="2:63">
      <c r="B1" s="210" t="s">
        <v>69</v>
      </c>
      <c r="C1" s="210"/>
      <c r="D1" s="210"/>
      <c r="E1" s="210"/>
      <c r="F1" s="210"/>
      <c r="G1" s="210"/>
      <c r="H1" s="210"/>
      <c r="I1" s="210"/>
      <c r="J1" s="210"/>
      <c r="K1" s="210"/>
      <c r="L1" s="210"/>
      <c r="M1" s="210"/>
      <c r="N1" s="210"/>
      <c r="O1" s="210"/>
      <c r="P1" s="210"/>
      <c r="Q1" s="210"/>
      <c r="R1" s="210"/>
      <c r="S1" s="210"/>
      <c r="T1" s="210"/>
      <c r="U1" s="210"/>
    </row>
    <row r="2" spans="2:63">
      <c r="B2" s="210"/>
      <c r="C2" s="210"/>
      <c r="D2" s="210"/>
      <c r="E2" s="210"/>
      <c r="F2" s="210"/>
      <c r="G2" s="210"/>
      <c r="H2" s="210"/>
      <c r="I2" s="210"/>
      <c r="J2" s="210"/>
      <c r="K2" s="210"/>
      <c r="L2" s="210"/>
      <c r="M2" s="210"/>
      <c r="N2" s="210"/>
      <c r="O2" s="210"/>
      <c r="P2" s="210"/>
      <c r="Q2" s="210"/>
      <c r="R2" s="210"/>
      <c r="S2" s="210"/>
      <c r="T2" s="210"/>
      <c r="U2" s="210"/>
      <c r="Z2" s="193"/>
      <c r="AA2" s="193"/>
      <c r="AB2" s="193"/>
      <c r="AC2" s="193"/>
      <c r="AD2" s="193"/>
      <c r="AE2" s="193"/>
      <c r="AF2" s="193"/>
      <c r="AH2" s="193"/>
      <c r="AI2" s="193"/>
      <c r="AJ2" s="193"/>
      <c r="AL2" s="193"/>
      <c r="AM2" s="193"/>
      <c r="AN2" s="193"/>
    </row>
    <row r="4" spans="2:63">
      <c r="B4" s="200" t="s">
        <v>23</v>
      </c>
      <c r="C4" s="200"/>
      <c r="D4" s="200"/>
      <c r="E4" s="200"/>
      <c r="F4" s="200"/>
      <c r="G4" s="200"/>
      <c r="H4" s="200"/>
      <c r="I4" s="200"/>
      <c r="J4" s="200"/>
      <c r="K4" s="200"/>
      <c r="L4" s="200"/>
      <c r="M4" s="200"/>
      <c r="N4" s="200"/>
      <c r="O4" s="200"/>
      <c r="P4" s="200"/>
      <c r="Q4" s="200"/>
      <c r="R4" s="200"/>
      <c r="S4" s="200"/>
      <c r="T4" s="200"/>
      <c r="U4" s="200"/>
      <c r="V4" s="200"/>
      <c r="AK4" s="193" t="s">
        <v>24</v>
      </c>
      <c r="AL4" s="193"/>
      <c r="AM4" s="193"/>
      <c r="AN4" s="193"/>
      <c r="AO4" s="193"/>
      <c r="AP4" s="193"/>
      <c r="AQ4" s="193"/>
      <c r="AR4" s="17" t="s">
        <v>25</v>
      </c>
      <c r="AS4" s="193"/>
      <c r="AT4" s="193"/>
      <c r="AU4" s="193"/>
      <c r="AV4" s="17" t="s">
        <v>26</v>
      </c>
      <c r="AW4" s="193"/>
      <c r="AX4" s="193"/>
      <c r="AY4" s="193"/>
      <c r="AZ4" s="17" t="s">
        <v>27</v>
      </c>
    </row>
    <row r="5" spans="2:63" ht="14.25" customHeight="1">
      <c r="B5" s="194" t="s">
        <v>28</v>
      </c>
      <c r="C5" s="194"/>
      <c r="D5" s="191" t="s">
        <v>29</v>
      </c>
      <c r="E5" s="191"/>
      <c r="F5" s="191"/>
      <c r="G5" s="191"/>
      <c r="H5" s="191"/>
      <c r="I5" s="191"/>
      <c r="J5" s="192"/>
      <c r="K5" s="195"/>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7"/>
      <c r="BF5" s="201" t="s">
        <v>30</v>
      </c>
      <c r="BG5" s="201"/>
      <c r="BH5" s="201"/>
      <c r="BI5" s="201"/>
      <c r="BJ5" s="201"/>
      <c r="BK5" s="201"/>
    </row>
    <row r="6" spans="2:63" ht="14.25" customHeight="1">
      <c r="B6" s="194"/>
      <c r="C6" s="194"/>
      <c r="D6" s="182" t="s">
        <v>31</v>
      </c>
      <c r="E6" s="202"/>
      <c r="F6" s="202"/>
      <c r="G6" s="202"/>
      <c r="H6" s="202"/>
      <c r="I6" s="202"/>
      <c r="J6" s="202"/>
      <c r="K6" s="204"/>
      <c r="L6" s="205"/>
      <c r="M6" s="205"/>
      <c r="N6" s="205"/>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6"/>
      <c r="BF6" s="201"/>
      <c r="BG6" s="201"/>
      <c r="BH6" s="201"/>
      <c r="BI6" s="201"/>
      <c r="BJ6" s="201"/>
      <c r="BK6" s="201"/>
    </row>
    <row r="7" spans="2:63" ht="14.25" customHeight="1">
      <c r="B7" s="194"/>
      <c r="C7" s="194"/>
      <c r="D7" s="184"/>
      <c r="E7" s="203"/>
      <c r="F7" s="203"/>
      <c r="G7" s="203"/>
      <c r="H7" s="203"/>
      <c r="I7" s="203"/>
      <c r="J7" s="203"/>
      <c r="K7" s="207"/>
      <c r="L7" s="208"/>
      <c r="M7" s="208"/>
      <c r="N7" s="208"/>
      <c r="O7" s="208"/>
      <c r="P7" s="208"/>
      <c r="Q7" s="208"/>
      <c r="R7" s="208"/>
      <c r="S7" s="208"/>
      <c r="T7" s="208"/>
      <c r="U7" s="208"/>
      <c r="V7" s="208"/>
      <c r="W7" s="208"/>
      <c r="X7" s="208"/>
      <c r="Y7" s="208"/>
      <c r="Z7" s="208"/>
      <c r="AA7" s="208"/>
      <c r="AB7" s="208"/>
      <c r="AC7" s="208"/>
      <c r="AD7" s="208"/>
      <c r="AE7" s="208"/>
      <c r="AF7" s="208"/>
      <c r="AG7" s="208"/>
      <c r="AH7" s="208"/>
      <c r="AI7" s="208"/>
      <c r="AJ7" s="208"/>
      <c r="AK7" s="208"/>
      <c r="AL7" s="208"/>
      <c r="AM7" s="208"/>
      <c r="AN7" s="208"/>
      <c r="AO7" s="208"/>
      <c r="AP7" s="208"/>
      <c r="AQ7" s="208"/>
      <c r="AR7" s="208"/>
      <c r="AS7" s="208"/>
      <c r="AT7" s="208"/>
      <c r="AU7" s="208"/>
      <c r="AV7" s="208"/>
      <c r="AW7" s="208"/>
      <c r="AX7" s="208"/>
      <c r="AY7" s="208"/>
      <c r="AZ7" s="208"/>
      <c r="BA7" s="208"/>
      <c r="BB7" s="208"/>
      <c r="BC7" s="208"/>
      <c r="BD7" s="208"/>
      <c r="BE7" s="209"/>
      <c r="BF7" s="201"/>
      <c r="BG7" s="201"/>
      <c r="BH7" s="201"/>
      <c r="BI7" s="201"/>
      <c r="BJ7" s="201"/>
      <c r="BK7" s="201"/>
    </row>
    <row r="8" spans="2:63" ht="14.25" customHeight="1">
      <c r="B8" s="194"/>
      <c r="C8" s="194"/>
      <c r="D8" s="191" t="s">
        <v>32</v>
      </c>
      <c r="E8" s="191"/>
      <c r="F8" s="191"/>
      <c r="G8" s="191"/>
      <c r="H8" s="191"/>
      <c r="I8" s="191"/>
      <c r="J8" s="192"/>
      <c r="K8" s="189"/>
      <c r="L8" s="190"/>
      <c r="M8" s="190"/>
      <c r="N8" s="190"/>
      <c r="O8" s="190"/>
      <c r="P8" s="190"/>
      <c r="Q8" s="190"/>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201"/>
      <c r="BG8" s="201"/>
      <c r="BH8" s="201"/>
      <c r="BI8" s="201"/>
      <c r="BJ8" s="201"/>
      <c r="BK8" s="201"/>
    </row>
    <row r="9" spans="2:63" ht="14.25" customHeight="1">
      <c r="B9" s="194"/>
      <c r="C9" s="194"/>
      <c r="D9" s="181" t="s">
        <v>33</v>
      </c>
      <c r="E9" s="181"/>
      <c r="F9" s="181"/>
      <c r="G9" s="181"/>
      <c r="H9" s="181"/>
      <c r="I9" s="181"/>
      <c r="J9" s="182"/>
      <c r="K9" s="185"/>
      <c r="L9" s="186"/>
      <c r="M9" s="186"/>
      <c r="N9" s="186"/>
      <c r="O9" s="186"/>
      <c r="P9" s="186"/>
      <c r="Q9" s="186"/>
      <c r="R9" s="186"/>
      <c r="S9" s="186"/>
      <c r="T9" s="186"/>
      <c r="U9" s="186"/>
      <c r="V9" s="186"/>
      <c r="W9" s="186"/>
      <c r="X9" s="186"/>
      <c r="Y9" s="186"/>
      <c r="Z9" s="186"/>
      <c r="AA9" s="186"/>
      <c r="AB9" s="186"/>
      <c r="AC9" s="186"/>
      <c r="AD9" s="186"/>
      <c r="AE9" s="186"/>
      <c r="AF9" s="186"/>
      <c r="AG9" s="186"/>
      <c r="AH9" s="186"/>
      <c r="AI9" s="186"/>
      <c r="AJ9" s="186"/>
      <c r="AK9" s="186"/>
      <c r="AL9" s="186"/>
      <c r="AM9" s="186"/>
      <c r="AN9" s="186"/>
      <c r="AO9" s="186"/>
      <c r="AP9" s="186"/>
      <c r="AQ9" s="186"/>
      <c r="AR9" s="186"/>
      <c r="AS9" s="186"/>
      <c r="AT9" s="186"/>
      <c r="AU9" s="186"/>
      <c r="AV9" s="186"/>
      <c r="AW9" s="186"/>
      <c r="AX9" s="186"/>
      <c r="AY9" s="186"/>
      <c r="AZ9" s="186"/>
      <c r="BA9" s="186"/>
      <c r="BB9" s="186"/>
      <c r="BC9" s="186"/>
      <c r="BD9" s="186"/>
      <c r="BE9" s="186"/>
      <c r="BF9" s="201"/>
      <c r="BG9" s="201"/>
      <c r="BH9" s="201"/>
      <c r="BI9" s="201"/>
      <c r="BJ9" s="201"/>
      <c r="BK9" s="201"/>
    </row>
    <row r="10" spans="2:63" ht="14.25" customHeight="1">
      <c r="B10" s="194"/>
      <c r="C10" s="194"/>
      <c r="D10" s="183"/>
      <c r="E10" s="183"/>
      <c r="F10" s="183"/>
      <c r="G10" s="183"/>
      <c r="H10" s="183"/>
      <c r="I10" s="183"/>
      <c r="J10" s="184"/>
      <c r="K10" s="187"/>
      <c r="L10" s="188"/>
      <c r="M10" s="188"/>
      <c r="N10" s="188"/>
      <c r="O10" s="188"/>
      <c r="P10" s="188"/>
      <c r="Q10" s="188"/>
      <c r="R10" s="188"/>
      <c r="S10" s="188"/>
      <c r="T10" s="188"/>
      <c r="U10" s="188"/>
      <c r="V10" s="188"/>
      <c r="W10" s="188"/>
      <c r="X10" s="188"/>
      <c r="Y10" s="188"/>
      <c r="Z10" s="188"/>
      <c r="AA10" s="188"/>
      <c r="AB10" s="188"/>
      <c r="AC10" s="188"/>
      <c r="AD10" s="188"/>
      <c r="AE10" s="188"/>
      <c r="AF10" s="188"/>
      <c r="AG10" s="188"/>
      <c r="AH10" s="188"/>
      <c r="AI10" s="188"/>
      <c r="AJ10" s="188"/>
      <c r="AK10" s="188"/>
      <c r="AL10" s="188"/>
      <c r="AM10" s="188"/>
      <c r="AN10" s="188"/>
      <c r="AO10" s="188"/>
      <c r="AP10" s="188"/>
      <c r="AQ10" s="188"/>
      <c r="AR10" s="188"/>
      <c r="AS10" s="188"/>
      <c r="AT10" s="188"/>
      <c r="AU10" s="188"/>
      <c r="AV10" s="188"/>
      <c r="AW10" s="188"/>
      <c r="AX10" s="188"/>
      <c r="AY10" s="188"/>
      <c r="AZ10" s="188"/>
      <c r="BA10" s="188"/>
      <c r="BB10" s="188"/>
      <c r="BC10" s="188"/>
      <c r="BD10" s="188"/>
      <c r="BE10" s="188"/>
      <c r="BF10" s="201"/>
      <c r="BG10" s="201"/>
      <c r="BH10" s="201"/>
      <c r="BI10" s="201"/>
      <c r="BJ10" s="201"/>
      <c r="BK10" s="201"/>
    </row>
    <row r="11" spans="2:63" ht="14.25" customHeight="1">
      <c r="B11" s="194"/>
      <c r="C11" s="194"/>
      <c r="D11" s="161" t="s">
        <v>34</v>
      </c>
      <c r="E11" s="161"/>
      <c r="F11" s="161"/>
      <c r="G11" s="161"/>
      <c r="H11" s="161"/>
      <c r="I11" s="161"/>
      <c r="J11" s="178"/>
      <c r="K11" s="198" t="s">
        <v>35</v>
      </c>
      <c r="L11" s="199"/>
      <c r="M11" s="199"/>
      <c r="N11" s="199"/>
      <c r="O11" s="199"/>
      <c r="P11" s="199"/>
      <c r="Q11" s="199"/>
      <c r="R11" s="199"/>
      <c r="S11" s="199"/>
      <c r="T11" s="199"/>
      <c r="U11" s="199"/>
      <c r="V11" s="199"/>
      <c r="W11" s="199"/>
      <c r="X11" s="199"/>
      <c r="Y11" s="199"/>
      <c r="Z11" s="199"/>
      <c r="AA11" s="199"/>
      <c r="AB11" s="199"/>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199"/>
      <c r="BF11" s="199"/>
      <c r="BG11" s="199"/>
      <c r="BH11" s="199"/>
      <c r="BI11" s="199"/>
      <c r="BJ11" s="199"/>
      <c r="BK11" s="199"/>
    </row>
    <row r="12" spans="2:63" ht="14.25" customHeight="1">
      <c r="B12" s="194"/>
      <c r="C12" s="194"/>
      <c r="D12" s="161"/>
      <c r="E12" s="161"/>
      <c r="F12" s="161"/>
      <c r="G12" s="161"/>
      <c r="H12" s="161"/>
      <c r="I12" s="161"/>
      <c r="J12" s="178"/>
      <c r="K12" s="198"/>
      <c r="L12" s="199"/>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199"/>
      <c r="BF12" s="199"/>
      <c r="BG12" s="199"/>
      <c r="BH12" s="199"/>
      <c r="BI12" s="199"/>
      <c r="BJ12" s="199"/>
      <c r="BK12" s="199"/>
    </row>
    <row r="13" spans="2:63" ht="14.25" customHeight="1">
      <c r="B13" s="194"/>
      <c r="C13" s="194"/>
      <c r="D13" s="161"/>
      <c r="E13" s="161"/>
      <c r="F13" s="161"/>
      <c r="G13" s="161"/>
      <c r="H13" s="161"/>
      <c r="I13" s="161"/>
      <c r="J13" s="178"/>
      <c r="K13" s="198"/>
      <c r="L13" s="199"/>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c r="BE13" s="199"/>
      <c r="BF13" s="199"/>
      <c r="BG13" s="199"/>
      <c r="BH13" s="199"/>
      <c r="BI13" s="199"/>
      <c r="BJ13" s="199"/>
      <c r="BK13" s="199"/>
    </row>
    <row r="14" spans="2:63" ht="14.25" customHeight="1">
      <c r="B14" s="194"/>
      <c r="C14" s="194"/>
      <c r="D14" s="191" t="s">
        <v>32</v>
      </c>
      <c r="E14" s="191"/>
      <c r="F14" s="191"/>
      <c r="G14" s="191"/>
      <c r="H14" s="191"/>
      <c r="I14" s="191"/>
      <c r="J14" s="192"/>
      <c r="K14" s="189"/>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1" t="s">
        <v>32</v>
      </c>
      <c r="AI14" s="191"/>
      <c r="AJ14" s="191"/>
      <c r="AK14" s="191"/>
      <c r="AL14" s="191"/>
      <c r="AM14" s="191"/>
      <c r="AN14" s="192"/>
      <c r="AO14" s="189"/>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row>
    <row r="15" spans="2:63" ht="14.25" customHeight="1">
      <c r="B15" s="194"/>
      <c r="C15" s="194"/>
      <c r="D15" s="181" t="s">
        <v>36</v>
      </c>
      <c r="E15" s="181"/>
      <c r="F15" s="181"/>
      <c r="G15" s="181"/>
      <c r="H15" s="181"/>
      <c r="I15" s="181"/>
      <c r="J15" s="182"/>
      <c r="K15" s="185"/>
      <c r="L15" s="186"/>
      <c r="M15" s="186"/>
      <c r="N15" s="186"/>
      <c r="O15" s="186"/>
      <c r="P15" s="186"/>
      <c r="Q15" s="186"/>
      <c r="R15" s="186"/>
      <c r="S15" s="186"/>
      <c r="T15" s="186"/>
      <c r="U15" s="186"/>
      <c r="V15" s="186"/>
      <c r="W15" s="186"/>
      <c r="X15" s="186"/>
      <c r="Y15" s="186"/>
      <c r="Z15" s="186"/>
      <c r="AA15" s="186"/>
      <c r="AB15" s="186"/>
      <c r="AC15" s="186"/>
      <c r="AD15" s="186"/>
      <c r="AE15" s="186"/>
      <c r="AF15" s="186"/>
      <c r="AG15" s="186"/>
      <c r="AH15" s="181" t="s">
        <v>37</v>
      </c>
      <c r="AI15" s="181"/>
      <c r="AJ15" s="181"/>
      <c r="AK15" s="181"/>
      <c r="AL15" s="181"/>
      <c r="AM15" s="181"/>
      <c r="AN15" s="182"/>
      <c r="AO15" s="185"/>
      <c r="AP15" s="186"/>
      <c r="AQ15" s="186"/>
      <c r="AR15" s="186"/>
      <c r="AS15" s="186"/>
      <c r="AT15" s="186"/>
      <c r="AU15" s="186"/>
      <c r="AV15" s="186"/>
      <c r="AW15" s="186"/>
      <c r="AX15" s="186"/>
      <c r="AY15" s="186"/>
      <c r="AZ15" s="186"/>
      <c r="BA15" s="186"/>
      <c r="BB15" s="186"/>
      <c r="BC15" s="186"/>
      <c r="BD15" s="186"/>
      <c r="BE15" s="186"/>
      <c r="BF15" s="186"/>
      <c r="BG15" s="186"/>
      <c r="BH15" s="186"/>
      <c r="BI15" s="186"/>
      <c r="BJ15" s="186"/>
      <c r="BK15" s="186"/>
    </row>
    <row r="16" spans="2:63" ht="14.25" customHeight="1">
      <c r="B16" s="194"/>
      <c r="C16" s="194"/>
      <c r="D16" s="183"/>
      <c r="E16" s="183"/>
      <c r="F16" s="183"/>
      <c r="G16" s="183"/>
      <c r="H16" s="183"/>
      <c r="I16" s="183"/>
      <c r="J16" s="184"/>
      <c r="K16" s="187"/>
      <c r="L16" s="188"/>
      <c r="M16" s="188"/>
      <c r="N16" s="188"/>
      <c r="O16" s="188"/>
      <c r="P16" s="188"/>
      <c r="Q16" s="188"/>
      <c r="R16" s="188"/>
      <c r="S16" s="188"/>
      <c r="T16" s="188"/>
      <c r="U16" s="188"/>
      <c r="V16" s="188"/>
      <c r="W16" s="188"/>
      <c r="X16" s="188"/>
      <c r="Y16" s="188"/>
      <c r="Z16" s="188"/>
      <c r="AA16" s="188"/>
      <c r="AB16" s="188"/>
      <c r="AC16" s="188"/>
      <c r="AD16" s="188"/>
      <c r="AE16" s="188"/>
      <c r="AF16" s="188"/>
      <c r="AG16" s="188"/>
      <c r="AH16" s="183"/>
      <c r="AI16" s="183"/>
      <c r="AJ16" s="183"/>
      <c r="AK16" s="183"/>
      <c r="AL16" s="183"/>
      <c r="AM16" s="183"/>
      <c r="AN16" s="184"/>
      <c r="AO16" s="187"/>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row>
    <row r="17" spans="2:63" ht="14.25" customHeight="1">
      <c r="B17" s="194"/>
      <c r="C17" s="194"/>
      <c r="D17" s="161" t="s">
        <v>9</v>
      </c>
      <c r="E17" s="161"/>
      <c r="F17" s="161"/>
      <c r="G17" s="161"/>
      <c r="H17" s="161"/>
      <c r="I17" s="161"/>
      <c r="J17" s="178"/>
      <c r="K17" s="179" t="s">
        <v>38</v>
      </c>
      <c r="L17" s="163"/>
      <c r="M17" s="163"/>
      <c r="N17" s="163"/>
      <c r="O17" s="163"/>
      <c r="P17" s="163"/>
      <c r="Q17" s="163"/>
      <c r="R17" s="163"/>
      <c r="S17" s="163"/>
      <c r="T17" s="163"/>
      <c r="U17" s="163"/>
      <c r="V17" s="163"/>
      <c r="W17" s="163"/>
      <c r="X17" s="163"/>
      <c r="Y17" s="163"/>
      <c r="Z17" s="163"/>
      <c r="AA17" s="163"/>
      <c r="AB17" s="163"/>
      <c r="AC17" s="163"/>
      <c r="AD17" s="163"/>
      <c r="AE17" s="163"/>
      <c r="AF17" s="163"/>
      <c r="AG17" s="163"/>
      <c r="AH17" s="161" t="s">
        <v>10</v>
      </c>
      <c r="AI17" s="161"/>
      <c r="AJ17" s="161"/>
      <c r="AK17" s="161"/>
      <c r="AL17" s="161"/>
      <c r="AM17" s="161"/>
      <c r="AN17" s="178"/>
      <c r="AO17" s="179" t="s">
        <v>39</v>
      </c>
      <c r="AP17" s="163"/>
      <c r="AQ17" s="163"/>
      <c r="AR17" s="163"/>
      <c r="AS17" s="163"/>
      <c r="AT17" s="163"/>
      <c r="AU17" s="163"/>
      <c r="AV17" s="163"/>
      <c r="AW17" s="163"/>
      <c r="AX17" s="163"/>
      <c r="AY17" s="163"/>
      <c r="AZ17" s="163"/>
      <c r="BA17" s="163"/>
      <c r="BB17" s="163"/>
      <c r="BC17" s="163"/>
      <c r="BD17" s="163"/>
      <c r="BE17" s="163"/>
      <c r="BF17" s="163"/>
      <c r="BG17" s="163"/>
      <c r="BH17" s="163"/>
      <c r="BI17" s="163"/>
      <c r="BJ17" s="163"/>
      <c r="BK17" s="163"/>
    </row>
    <row r="18" spans="2:63" ht="14.25" customHeight="1">
      <c r="B18" s="194"/>
      <c r="C18" s="194"/>
      <c r="D18" s="161"/>
      <c r="E18" s="161"/>
      <c r="F18" s="161"/>
      <c r="G18" s="161"/>
      <c r="H18" s="161"/>
      <c r="I18" s="161"/>
      <c r="J18" s="178"/>
      <c r="K18" s="180"/>
      <c r="L18" s="163"/>
      <c r="M18" s="163"/>
      <c r="N18" s="163"/>
      <c r="O18" s="163"/>
      <c r="P18" s="163"/>
      <c r="Q18" s="163"/>
      <c r="R18" s="163"/>
      <c r="S18" s="163"/>
      <c r="T18" s="163"/>
      <c r="U18" s="163"/>
      <c r="V18" s="163"/>
      <c r="W18" s="163"/>
      <c r="X18" s="163"/>
      <c r="Y18" s="163"/>
      <c r="Z18" s="163"/>
      <c r="AA18" s="163"/>
      <c r="AB18" s="163"/>
      <c r="AC18" s="163"/>
      <c r="AD18" s="163"/>
      <c r="AE18" s="163"/>
      <c r="AF18" s="163"/>
      <c r="AG18" s="163"/>
      <c r="AH18" s="161"/>
      <c r="AI18" s="161"/>
      <c r="AJ18" s="161"/>
      <c r="AK18" s="161"/>
      <c r="AL18" s="161"/>
      <c r="AM18" s="161"/>
      <c r="AN18" s="178"/>
      <c r="AO18" s="180"/>
      <c r="AP18" s="163"/>
      <c r="AQ18" s="163"/>
      <c r="AR18" s="163"/>
      <c r="AS18" s="163"/>
      <c r="AT18" s="163"/>
      <c r="AU18" s="163"/>
      <c r="AV18" s="163"/>
      <c r="AW18" s="163"/>
      <c r="AX18" s="163"/>
      <c r="AY18" s="163"/>
      <c r="AZ18" s="163"/>
      <c r="BA18" s="163"/>
      <c r="BB18" s="163"/>
      <c r="BC18" s="163"/>
      <c r="BD18" s="163"/>
      <c r="BE18" s="163"/>
      <c r="BF18" s="163"/>
      <c r="BG18" s="163"/>
      <c r="BH18" s="163"/>
      <c r="BI18" s="163"/>
      <c r="BJ18" s="163"/>
      <c r="BK18" s="163"/>
    </row>
    <row r="19" spans="2:63" ht="14.25" customHeight="1">
      <c r="B19" s="194"/>
      <c r="C19" s="194"/>
      <c r="D19" s="161" t="s">
        <v>40</v>
      </c>
      <c r="E19" s="161"/>
      <c r="F19" s="161"/>
      <c r="G19" s="161"/>
      <c r="H19" s="161"/>
      <c r="I19" s="161"/>
      <c r="J19" s="178"/>
      <c r="K19" s="180" t="s">
        <v>41</v>
      </c>
      <c r="L19" s="163"/>
      <c r="M19" s="163"/>
      <c r="N19" s="163"/>
      <c r="O19" s="163"/>
      <c r="P19" s="163"/>
      <c r="Q19" s="163"/>
      <c r="R19" s="163"/>
      <c r="S19" s="163"/>
      <c r="T19" s="163"/>
      <c r="U19" s="163"/>
      <c r="V19" s="163"/>
      <c r="W19" s="163"/>
      <c r="X19" s="163"/>
      <c r="Y19" s="163"/>
      <c r="Z19" s="163"/>
      <c r="AA19" s="163"/>
      <c r="AB19" s="163"/>
      <c r="AC19" s="163"/>
      <c r="AD19" s="163"/>
      <c r="AE19" s="163"/>
      <c r="AF19" s="163"/>
      <c r="AG19" s="163"/>
      <c r="AH19" s="161" t="s">
        <v>42</v>
      </c>
      <c r="AI19" s="161"/>
      <c r="AJ19" s="161"/>
      <c r="AK19" s="161"/>
      <c r="AL19" s="161"/>
      <c r="AM19" s="161"/>
      <c r="AN19" s="178"/>
      <c r="AO19" s="180"/>
      <c r="AP19" s="163"/>
      <c r="AQ19" s="163"/>
      <c r="AR19" s="163"/>
      <c r="AS19" s="163"/>
      <c r="AT19" s="163"/>
      <c r="AU19" s="163"/>
      <c r="AV19" s="163"/>
      <c r="AW19" s="163"/>
      <c r="AX19" s="163"/>
      <c r="AY19" s="163"/>
      <c r="AZ19" s="163"/>
      <c r="BA19" s="163"/>
      <c r="BB19" s="163"/>
      <c r="BC19" s="163"/>
      <c r="BD19" s="163"/>
      <c r="BE19" s="163"/>
      <c r="BF19" s="163"/>
      <c r="BG19" s="163"/>
      <c r="BH19" s="163"/>
      <c r="BI19" s="163"/>
      <c r="BJ19" s="163"/>
      <c r="BK19" s="163"/>
    </row>
    <row r="20" spans="2:63" ht="14.25" customHeight="1">
      <c r="B20" s="194"/>
      <c r="C20" s="194"/>
      <c r="D20" s="161"/>
      <c r="E20" s="161"/>
      <c r="F20" s="161"/>
      <c r="G20" s="161"/>
      <c r="H20" s="161"/>
      <c r="I20" s="161"/>
      <c r="J20" s="178"/>
      <c r="K20" s="180"/>
      <c r="L20" s="163"/>
      <c r="M20" s="163"/>
      <c r="N20" s="163"/>
      <c r="O20" s="163"/>
      <c r="P20" s="163"/>
      <c r="Q20" s="163"/>
      <c r="R20" s="163"/>
      <c r="S20" s="163"/>
      <c r="T20" s="163"/>
      <c r="U20" s="163"/>
      <c r="V20" s="163"/>
      <c r="W20" s="163"/>
      <c r="X20" s="163"/>
      <c r="Y20" s="163"/>
      <c r="Z20" s="163"/>
      <c r="AA20" s="163"/>
      <c r="AB20" s="163"/>
      <c r="AC20" s="163"/>
      <c r="AD20" s="163"/>
      <c r="AE20" s="163"/>
      <c r="AF20" s="163"/>
      <c r="AG20" s="163"/>
      <c r="AH20" s="161"/>
      <c r="AI20" s="161"/>
      <c r="AJ20" s="161"/>
      <c r="AK20" s="161"/>
      <c r="AL20" s="161"/>
      <c r="AM20" s="161"/>
      <c r="AN20" s="178"/>
      <c r="AO20" s="180"/>
      <c r="AP20" s="163"/>
      <c r="AQ20" s="163"/>
      <c r="AR20" s="163"/>
      <c r="AS20" s="163"/>
      <c r="AT20" s="163"/>
      <c r="AU20" s="163"/>
      <c r="AV20" s="163"/>
      <c r="AW20" s="163"/>
      <c r="AX20" s="163"/>
      <c r="AY20" s="163"/>
      <c r="AZ20" s="163"/>
      <c r="BA20" s="163"/>
      <c r="BB20" s="163"/>
      <c r="BC20" s="163"/>
      <c r="BD20" s="163"/>
      <c r="BE20" s="163"/>
      <c r="BF20" s="163"/>
      <c r="BG20" s="163"/>
      <c r="BH20" s="163"/>
      <c r="BI20" s="163"/>
      <c r="BJ20" s="163"/>
      <c r="BK20" s="163"/>
    </row>
    <row r="21" spans="2:63" ht="14.25" customHeight="1"/>
    <row r="22" spans="2:63" ht="14.25" customHeight="1">
      <c r="B22" s="146" t="s">
        <v>43</v>
      </c>
      <c r="C22" s="147"/>
      <c r="D22" s="158" t="s">
        <v>44</v>
      </c>
      <c r="E22" s="159"/>
      <c r="F22" s="159"/>
      <c r="G22" s="159"/>
      <c r="H22" s="159"/>
      <c r="I22" s="159"/>
      <c r="J22" s="159"/>
      <c r="K22" s="156"/>
      <c r="L22" s="156"/>
      <c r="M22" s="156"/>
      <c r="N22" s="156"/>
      <c r="O22" s="156"/>
      <c r="P22" s="156"/>
      <c r="Q22" s="156"/>
      <c r="R22" s="156"/>
      <c r="S22" s="156"/>
      <c r="T22" s="156"/>
      <c r="U22" s="156"/>
      <c r="V22" s="156"/>
      <c r="W22" s="157"/>
      <c r="X22" s="160" t="s">
        <v>46</v>
      </c>
      <c r="Y22" s="161"/>
      <c r="Z22" s="161"/>
      <c r="AA22" s="161"/>
      <c r="AB22" s="161"/>
      <c r="AC22" s="161"/>
      <c r="AD22" s="162"/>
      <c r="AE22" s="157"/>
      <c r="AF22" s="163"/>
      <c r="AG22" s="163"/>
      <c r="AH22" s="163"/>
      <c r="AI22" s="163"/>
      <c r="AJ22" s="163"/>
      <c r="AK22" s="163"/>
      <c r="AL22" s="163"/>
      <c r="AM22" s="163"/>
      <c r="AN22" s="163"/>
      <c r="AO22" s="163"/>
      <c r="AP22" s="163"/>
      <c r="AQ22" s="163"/>
      <c r="AR22" s="178" t="s">
        <v>48</v>
      </c>
      <c r="AS22" s="159"/>
      <c r="AT22" s="159"/>
      <c r="AU22" s="159"/>
      <c r="AV22" s="159"/>
      <c r="AW22" s="159"/>
      <c r="AX22" s="159"/>
      <c r="AY22" s="156" t="s">
        <v>70</v>
      </c>
      <c r="AZ22" s="156"/>
      <c r="BA22" s="156"/>
      <c r="BB22" s="156"/>
      <c r="BC22" s="156"/>
      <c r="BD22" s="156"/>
      <c r="BE22" s="156"/>
      <c r="BF22" s="156"/>
      <c r="BG22" s="156"/>
      <c r="BH22" s="156"/>
      <c r="BI22" s="156"/>
      <c r="BJ22" s="156"/>
      <c r="BK22" s="157"/>
    </row>
    <row r="23" spans="2:63" ht="14.25" customHeight="1">
      <c r="B23" s="148"/>
      <c r="C23" s="149"/>
      <c r="D23" s="158"/>
      <c r="E23" s="159"/>
      <c r="F23" s="159"/>
      <c r="G23" s="159"/>
      <c r="H23" s="159"/>
      <c r="I23" s="159"/>
      <c r="J23" s="159"/>
      <c r="K23" s="156"/>
      <c r="L23" s="156"/>
      <c r="M23" s="156"/>
      <c r="N23" s="156"/>
      <c r="O23" s="156"/>
      <c r="P23" s="156"/>
      <c r="Q23" s="156"/>
      <c r="R23" s="156"/>
      <c r="S23" s="156"/>
      <c r="T23" s="156"/>
      <c r="U23" s="156"/>
      <c r="V23" s="156"/>
      <c r="W23" s="157"/>
      <c r="X23" s="160"/>
      <c r="Y23" s="161"/>
      <c r="Z23" s="161"/>
      <c r="AA23" s="161"/>
      <c r="AB23" s="161"/>
      <c r="AC23" s="161"/>
      <c r="AD23" s="162"/>
      <c r="AE23" s="157"/>
      <c r="AF23" s="163"/>
      <c r="AG23" s="163"/>
      <c r="AH23" s="163"/>
      <c r="AI23" s="163"/>
      <c r="AJ23" s="163"/>
      <c r="AK23" s="163"/>
      <c r="AL23" s="163"/>
      <c r="AM23" s="163"/>
      <c r="AN23" s="163"/>
      <c r="AO23" s="163"/>
      <c r="AP23" s="163"/>
      <c r="AQ23" s="163"/>
      <c r="AR23" s="178"/>
      <c r="AS23" s="159"/>
      <c r="AT23" s="159"/>
      <c r="AU23" s="159"/>
      <c r="AV23" s="159"/>
      <c r="AW23" s="159"/>
      <c r="AX23" s="159"/>
      <c r="AY23" s="156"/>
      <c r="AZ23" s="156"/>
      <c r="BA23" s="156"/>
      <c r="BB23" s="156"/>
      <c r="BC23" s="156"/>
      <c r="BD23" s="156"/>
      <c r="BE23" s="156"/>
      <c r="BF23" s="156"/>
      <c r="BG23" s="156"/>
      <c r="BH23" s="156"/>
      <c r="BI23" s="156"/>
      <c r="BJ23" s="156"/>
      <c r="BK23" s="157"/>
    </row>
    <row r="24" spans="2:63" ht="14.25" customHeight="1">
      <c r="B24" s="148"/>
      <c r="C24" s="149"/>
      <c r="D24" s="158" t="s">
        <v>50</v>
      </c>
      <c r="E24" s="159"/>
      <c r="F24" s="159"/>
      <c r="G24" s="159"/>
      <c r="H24" s="159"/>
      <c r="I24" s="159"/>
      <c r="J24" s="159"/>
      <c r="K24" s="156" t="s">
        <v>51</v>
      </c>
      <c r="L24" s="156"/>
      <c r="M24" s="156"/>
      <c r="N24" s="156"/>
      <c r="O24" s="156"/>
      <c r="P24" s="156"/>
      <c r="Q24" s="156"/>
      <c r="R24" s="156"/>
      <c r="S24" s="156"/>
      <c r="T24" s="156"/>
      <c r="U24" s="156"/>
      <c r="V24" s="156"/>
      <c r="W24" s="157"/>
      <c r="X24" s="160" t="s">
        <v>52</v>
      </c>
      <c r="Y24" s="161"/>
      <c r="Z24" s="161"/>
      <c r="AA24" s="161"/>
      <c r="AB24" s="161"/>
      <c r="AC24" s="161"/>
      <c r="AD24" s="162"/>
      <c r="AE24" s="157" t="s">
        <v>53</v>
      </c>
      <c r="AF24" s="163"/>
      <c r="AG24" s="163"/>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c r="BI24" s="163"/>
      <c r="BJ24" s="163"/>
      <c r="BK24" s="163"/>
    </row>
    <row r="25" spans="2:63" ht="14.25" customHeight="1">
      <c r="B25" s="148"/>
      <c r="C25" s="149"/>
      <c r="D25" s="158"/>
      <c r="E25" s="159"/>
      <c r="F25" s="159"/>
      <c r="G25" s="159"/>
      <c r="H25" s="159"/>
      <c r="I25" s="159"/>
      <c r="J25" s="159"/>
      <c r="K25" s="156"/>
      <c r="L25" s="156"/>
      <c r="M25" s="156"/>
      <c r="N25" s="156"/>
      <c r="O25" s="156"/>
      <c r="P25" s="156"/>
      <c r="Q25" s="156"/>
      <c r="R25" s="156"/>
      <c r="S25" s="156"/>
      <c r="T25" s="156"/>
      <c r="U25" s="156"/>
      <c r="V25" s="156"/>
      <c r="W25" s="157"/>
      <c r="X25" s="160"/>
      <c r="Y25" s="161"/>
      <c r="Z25" s="161"/>
      <c r="AA25" s="161"/>
      <c r="AB25" s="161"/>
      <c r="AC25" s="161"/>
      <c r="AD25" s="162"/>
      <c r="AE25" s="157"/>
      <c r="AF25" s="163"/>
      <c r="AG25" s="163"/>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c r="BI25" s="163"/>
      <c r="BJ25" s="163"/>
      <c r="BK25" s="163"/>
    </row>
    <row r="26" spans="2:63" ht="14.25" customHeight="1">
      <c r="B26" s="148"/>
      <c r="C26" s="149"/>
      <c r="D26" s="158" t="s">
        <v>72</v>
      </c>
      <c r="E26" s="159"/>
      <c r="F26" s="159"/>
      <c r="G26" s="159"/>
      <c r="H26" s="159"/>
      <c r="I26" s="159"/>
      <c r="J26" s="159"/>
      <c r="K26" s="164" t="s">
        <v>7</v>
      </c>
      <c r="L26" s="164"/>
      <c r="M26" s="164"/>
      <c r="N26" s="164"/>
      <c r="O26" s="164"/>
      <c r="P26" s="164"/>
      <c r="Q26" s="164"/>
      <c r="R26" s="164"/>
      <c r="S26" s="164"/>
      <c r="T26" s="164"/>
      <c r="U26" s="164"/>
      <c r="V26" s="164"/>
      <c r="W26" s="165"/>
    </row>
    <row r="27" spans="2:63" ht="14.25" customHeight="1">
      <c r="B27" s="148"/>
      <c r="C27" s="149"/>
      <c r="D27" s="158"/>
      <c r="E27" s="159"/>
      <c r="F27" s="159"/>
      <c r="G27" s="159"/>
      <c r="H27" s="159"/>
      <c r="I27" s="159"/>
      <c r="J27" s="159"/>
      <c r="K27" s="164"/>
      <c r="L27" s="164"/>
      <c r="M27" s="164"/>
      <c r="N27" s="164"/>
      <c r="O27" s="164"/>
      <c r="P27" s="164"/>
      <c r="Q27" s="164"/>
      <c r="R27" s="164"/>
      <c r="S27" s="164"/>
      <c r="T27" s="164"/>
      <c r="U27" s="164"/>
      <c r="V27" s="164"/>
      <c r="W27" s="165"/>
      <c r="Y27" s="155" t="s">
        <v>71</v>
      </c>
      <c r="Z27" s="155"/>
      <c r="AA27" s="155"/>
      <c r="AB27" s="155"/>
      <c r="AC27" s="155"/>
      <c r="AD27" s="155"/>
      <c r="AE27" s="155"/>
      <c r="AF27" s="155"/>
      <c r="AG27" s="155"/>
      <c r="AH27" s="155"/>
      <c r="AI27" s="155"/>
      <c r="AJ27" s="155"/>
      <c r="AK27" s="155"/>
      <c r="AL27" s="155"/>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row>
    <row r="28" spans="2:63" ht="14.25" customHeight="1">
      <c r="B28" s="148"/>
      <c r="C28" s="149"/>
      <c r="D28" s="166" t="s">
        <v>74</v>
      </c>
      <c r="E28" s="167"/>
      <c r="F28" s="167"/>
      <c r="G28" s="167"/>
      <c r="H28" s="167"/>
      <c r="I28" s="167"/>
      <c r="J28" s="167"/>
      <c r="K28" s="172"/>
      <c r="L28" s="172"/>
      <c r="M28" s="172"/>
      <c r="N28" s="172"/>
      <c r="O28" s="172"/>
      <c r="P28" s="172"/>
      <c r="Q28" s="172"/>
      <c r="R28" s="172"/>
      <c r="S28" s="172"/>
      <c r="T28" s="172"/>
      <c r="U28" s="172"/>
      <c r="V28" s="172"/>
      <c r="W28" s="173"/>
      <c r="Y28" s="155" t="s">
        <v>131</v>
      </c>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row>
    <row r="29" spans="2:63" ht="14.25" customHeight="1">
      <c r="B29" s="148"/>
      <c r="C29" s="149"/>
      <c r="D29" s="168"/>
      <c r="E29" s="169"/>
      <c r="F29" s="169"/>
      <c r="G29" s="169"/>
      <c r="H29" s="169"/>
      <c r="I29" s="169"/>
      <c r="J29" s="169"/>
      <c r="K29" s="174"/>
      <c r="L29" s="174"/>
      <c r="M29" s="174"/>
      <c r="N29" s="174"/>
      <c r="O29" s="174"/>
      <c r="P29" s="174"/>
      <c r="Q29" s="174"/>
      <c r="R29" s="174"/>
      <c r="S29" s="174"/>
      <c r="T29" s="174"/>
      <c r="U29" s="174"/>
      <c r="V29" s="174"/>
      <c r="W29" s="175"/>
      <c r="Y29" s="155" t="s">
        <v>62</v>
      </c>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row>
    <row r="30" spans="2:63" ht="14.25" customHeight="1">
      <c r="B30" s="148"/>
      <c r="C30" s="149"/>
      <c r="D30" s="168"/>
      <c r="E30" s="169"/>
      <c r="F30" s="169"/>
      <c r="G30" s="169"/>
      <c r="H30" s="169"/>
      <c r="I30" s="169"/>
      <c r="J30" s="169"/>
      <c r="K30" s="174"/>
      <c r="L30" s="174"/>
      <c r="M30" s="174"/>
      <c r="N30" s="174"/>
      <c r="O30" s="174"/>
      <c r="P30" s="174"/>
      <c r="Q30" s="174"/>
      <c r="R30" s="174"/>
      <c r="S30" s="174"/>
      <c r="T30" s="174"/>
      <c r="U30" s="174"/>
      <c r="V30" s="174"/>
      <c r="W30" s="175"/>
      <c r="Y30" s="155" t="s">
        <v>78</v>
      </c>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row>
    <row r="31" spans="2:63" ht="14.25" customHeight="1">
      <c r="B31" s="148"/>
      <c r="C31" s="149"/>
      <c r="D31" s="168"/>
      <c r="E31" s="169"/>
      <c r="F31" s="169"/>
      <c r="G31" s="169"/>
      <c r="H31" s="169"/>
      <c r="I31" s="169"/>
      <c r="J31" s="169"/>
      <c r="K31" s="174"/>
      <c r="L31" s="174"/>
      <c r="M31" s="174"/>
      <c r="N31" s="174"/>
      <c r="O31" s="174"/>
      <c r="P31" s="174"/>
      <c r="Q31" s="174"/>
      <c r="R31" s="174"/>
      <c r="S31" s="174"/>
      <c r="T31" s="174"/>
      <c r="U31" s="174"/>
      <c r="V31" s="174"/>
      <c r="W31" s="175"/>
      <c r="Y31" s="19" t="s">
        <v>123</v>
      </c>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row>
    <row r="32" spans="2:63" ht="14.25" customHeight="1">
      <c r="B32" s="148"/>
      <c r="C32" s="149"/>
      <c r="D32" s="168"/>
      <c r="E32" s="169"/>
      <c r="F32" s="169"/>
      <c r="G32" s="169"/>
      <c r="H32" s="169"/>
      <c r="I32" s="169"/>
      <c r="J32" s="169"/>
      <c r="K32" s="174"/>
      <c r="L32" s="174"/>
      <c r="M32" s="174"/>
      <c r="N32" s="174"/>
      <c r="O32" s="174"/>
      <c r="P32" s="174"/>
      <c r="Q32" s="174"/>
      <c r="R32" s="174"/>
      <c r="S32" s="174"/>
      <c r="T32" s="174"/>
      <c r="U32" s="174"/>
      <c r="V32" s="174"/>
      <c r="W32" s="175"/>
      <c r="Y32" s="19" t="s">
        <v>65</v>
      </c>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row>
    <row r="33" spans="2:63" ht="14.25" customHeight="1">
      <c r="B33" s="150"/>
      <c r="C33" s="151"/>
      <c r="D33" s="170"/>
      <c r="E33" s="171"/>
      <c r="F33" s="171"/>
      <c r="G33" s="171"/>
      <c r="H33" s="171"/>
      <c r="I33" s="171"/>
      <c r="J33" s="171"/>
      <c r="K33" s="176"/>
      <c r="L33" s="176"/>
      <c r="M33" s="176"/>
      <c r="N33" s="176"/>
      <c r="O33" s="176"/>
      <c r="P33" s="176"/>
      <c r="Q33" s="176"/>
      <c r="R33" s="176"/>
      <c r="S33" s="176"/>
      <c r="T33" s="176"/>
      <c r="U33" s="176"/>
      <c r="V33" s="176"/>
      <c r="W33" s="177"/>
      <c r="Y33" s="19" t="s">
        <v>66</v>
      </c>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row>
    <row r="34" spans="2:63" ht="14.25" customHeight="1"/>
    <row r="35" spans="2:63" ht="14.25" customHeight="1">
      <c r="Y35" s="152" t="s">
        <v>67</v>
      </c>
      <c r="Z35" s="152"/>
      <c r="AA35" s="152"/>
      <c r="AB35" s="152"/>
      <c r="AC35" s="152"/>
      <c r="AD35" s="152"/>
      <c r="AE35" s="152"/>
      <c r="AF35" s="152"/>
      <c r="AG35" s="152"/>
      <c r="AH35" s="152"/>
      <c r="AI35" s="152"/>
      <c r="AJ35" s="152"/>
      <c r="AK35" s="152"/>
      <c r="AL35" s="152"/>
      <c r="AM35" s="152"/>
      <c r="AN35" s="152"/>
      <c r="AO35" s="152"/>
      <c r="AP35" s="152"/>
      <c r="AQ35" s="152"/>
      <c r="AR35" s="153" t="s">
        <v>110</v>
      </c>
      <c r="AS35" s="153"/>
      <c r="AT35" s="153"/>
      <c r="AU35" s="153"/>
      <c r="AV35" s="153"/>
      <c r="AW35" s="153"/>
      <c r="AX35" s="153"/>
      <c r="AY35" s="153"/>
      <c r="AZ35" s="153"/>
      <c r="BA35" s="153"/>
      <c r="BB35" s="153"/>
      <c r="BC35" s="153"/>
      <c r="BD35" s="153"/>
      <c r="BE35" s="153"/>
      <c r="BF35" s="153"/>
      <c r="BG35" s="153"/>
      <c r="BH35" s="153"/>
      <c r="BI35" s="153"/>
      <c r="BJ35" s="153"/>
      <c r="BK35" s="18"/>
    </row>
    <row r="36" spans="2:63" ht="14.25" customHeight="1">
      <c r="Y36" s="152"/>
      <c r="Z36" s="152"/>
      <c r="AA36" s="152"/>
      <c r="AB36" s="152"/>
      <c r="AC36" s="152"/>
      <c r="AD36" s="152"/>
      <c r="AE36" s="152"/>
      <c r="AF36" s="152"/>
      <c r="AG36" s="152"/>
      <c r="AH36" s="152"/>
      <c r="AI36" s="152"/>
      <c r="AJ36" s="152"/>
      <c r="AK36" s="152"/>
      <c r="AL36" s="152"/>
      <c r="AM36" s="152"/>
      <c r="AN36" s="152"/>
      <c r="AO36" s="152"/>
      <c r="AP36" s="152"/>
      <c r="AQ36" s="152"/>
      <c r="AR36" s="153"/>
      <c r="AS36" s="153"/>
      <c r="AT36" s="153"/>
      <c r="AU36" s="153"/>
      <c r="AV36" s="153"/>
      <c r="AW36" s="153"/>
      <c r="AX36" s="153"/>
      <c r="AY36" s="153"/>
      <c r="AZ36" s="153"/>
      <c r="BA36" s="153"/>
      <c r="BB36" s="153"/>
      <c r="BC36" s="153"/>
      <c r="BD36" s="153"/>
      <c r="BE36" s="153"/>
      <c r="BF36" s="153"/>
      <c r="BG36" s="153"/>
      <c r="BH36" s="153"/>
      <c r="BI36" s="153"/>
      <c r="BJ36" s="153"/>
      <c r="BK36" s="18"/>
    </row>
    <row r="37" spans="2:63">
      <c r="H37" s="154" t="s">
        <v>68</v>
      </c>
      <c r="I37" s="154"/>
      <c r="J37" s="154"/>
      <c r="Y37" s="152"/>
      <c r="Z37" s="152"/>
      <c r="AA37" s="152"/>
      <c r="AB37" s="152"/>
      <c r="AC37" s="152"/>
      <c r="AD37" s="152"/>
      <c r="AE37" s="152"/>
      <c r="AF37" s="152"/>
      <c r="AG37" s="152"/>
      <c r="AH37" s="152"/>
      <c r="AI37" s="152"/>
      <c r="AJ37" s="152"/>
      <c r="AK37" s="152"/>
      <c r="AL37" s="152"/>
      <c r="AM37" s="152"/>
      <c r="AN37" s="152"/>
      <c r="AO37" s="152"/>
      <c r="AP37" s="152"/>
      <c r="AQ37" s="152"/>
      <c r="AR37" s="153"/>
      <c r="AS37" s="153"/>
      <c r="AT37" s="153"/>
      <c r="AU37" s="153"/>
      <c r="AV37" s="153"/>
      <c r="AW37" s="153"/>
      <c r="AX37" s="153"/>
      <c r="AY37" s="153"/>
      <c r="AZ37" s="153"/>
      <c r="BA37" s="153"/>
      <c r="BB37" s="153"/>
      <c r="BC37" s="153"/>
      <c r="BD37" s="153"/>
      <c r="BE37" s="153"/>
      <c r="BF37" s="153"/>
      <c r="BG37" s="153"/>
      <c r="BH37" s="153"/>
      <c r="BI37" s="153"/>
      <c r="BJ37" s="153"/>
      <c r="BK37" s="18"/>
    </row>
    <row r="38" spans="2:63">
      <c r="Y38" s="152"/>
      <c r="Z38" s="152"/>
      <c r="AA38" s="152"/>
      <c r="AB38" s="152"/>
      <c r="AC38" s="152"/>
      <c r="AD38" s="152"/>
      <c r="AE38" s="152"/>
      <c r="AF38" s="152"/>
      <c r="AG38" s="152"/>
      <c r="AH38" s="152"/>
      <c r="AI38" s="152"/>
      <c r="AJ38" s="152"/>
      <c r="AK38" s="152"/>
      <c r="AL38" s="152"/>
      <c r="AM38" s="152"/>
      <c r="AN38" s="152"/>
      <c r="AO38" s="152"/>
      <c r="AP38" s="152"/>
      <c r="AQ38" s="152"/>
      <c r="AR38" s="153"/>
      <c r="AS38" s="153"/>
      <c r="AT38" s="153"/>
      <c r="AU38" s="153"/>
      <c r="AV38" s="153"/>
      <c r="AW38" s="153"/>
      <c r="AX38" s="153"/>
      <c r="AY38" s="153"/>
      <c r="AZ38" s="153"/>
      <c r="BA38" s="153"/>
      <c r="BB38" s="153"/>
      <c r="BC38" s="153"/>
      <c r="BD38" s="153"/>
      <c r="BE38" s="153"/>
      <c r="BF38" s="153"/>
      <c r="BG38" s="153"/>
      <c r="BH38" s="153"/>
      <c r="BI38" s="153"/>
      <c r="BJ38" s="153"/>
    </row>
  </sheetData>
  <mergeCells count="60">
    <mergeCell ref="B1:U2"/>
    <mergeCell ref="Z2:AC2"/>
    <mergeCell ref="AD2:AF2"/>
    <mergeCell ref="AH2:AJ2"/>
    <mergeCell ref="AL2:AN2"/>
    <mergeCell ref="AO4:AQ4"/>
    <mergeCell ref="AS4:AU4"/>
    <mergeCell ref="AW4:AY4"/>
    <mergeCell ref="B5:C20"/>
    <mergeCell ref="D5:J5"/>
    <mergeCell ref="K5:BE5"/>
    <mergeCell ref="D11:J13"/>
    <mergeCell ref="K11:BK13"/>
    <mergeCell ref="D14:J14"/>
    <mergeCell ref="K14:AG14"/>
    <mergeCell ref="B4:V4"/>
    <mergeCell ref="AK4:AN4"/>
    <mergeCell ref="BF5:BK10"/>
    <mergeCell ref="D6:J7"/>
    <mergeCell ref="K6:BE7"/>
    <mergeCell ref="D8:J8"/>
    <mergeCell ref="K8:BE8"/>
    <mergeCell ref="D9:J10"/>
    <mergeCell ref="K9:BE10"/>
    <mergeCell ref="AH14:AN14"/>
    <mergeCell ref="AO14:BK14"/>
    <mergeCell ref="D15:J16"/>
    <mergeCell ref="K15:AG16"/>
    <mergeCell ref="AH15:AN16"/>
    <mergeCell ref="AO15:BK16"/>
    <mergeCell ref="AR22:AX23"/>
    <mergeCell ref="D22:J23"/>
    <mergeCell ref="K22:W23"/>
    <mergeCell ref="X22:AD23"/>
    <mergeCell ref="AE22:AQ23"/>
    <mergeCell ref="AO17:BK18"/>
    <mergeCell ref="AO19:BK20"/>
    <mergeCell ref="K28:W33"/>
    <mergeCell ref="D17:J18"/>
    <mergeCell ref="K17:AG18"/>
    <mergeCell ref="AH17:AN18"/>
    <mergeCell ref="D19:J20"/>
    <mergeCell ref="K19:AG20"/>
    <mergeCell ref="AH19:AN20"/>
    <mergeCell ref="B22:C33"/>
    <mergeCell ref="Y35:AQ38"/>
    <mergeCell ref="AR35:BJ38"/>
    <mergeCell ref="H37:J37"/>
    <mergeCell ref="Y27:BK27"/>
    <mergeCell ref="Y28:BK28"/>
    <mergeCell ref="Y29:BK29"/>
    <mergeCell ref="AY22:BK23"/>
    <mergeCell ref="D24:J25"/>
    <mergeCell ref="K24:W25"/>
    <mergeCell ref="X24:AD25"/>
    <mergeCell ref="AE24:BK25"/>
    <mergeCell ref="D26:J27"/>
    <mergeCell ref="Y30:BK30"/>
    <mergeCell ref="K26:W27"/>
    <mergeCell ref="D28:J33"/>
  </mergeCells>
  <phoneticPr fontId="1"/>
  <printOptions horizontalCentered="1" verticalCentered="1"/>
  <pageMargins left="0.23622047244094491" right="0.23622047244094491" top="0.55118110236220474" bottom="0.55118110236220474" header="0.31496062992125984" footer="0.31496062992125984"/>
  <pageSetup paperSize="9"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B1:BK39"/>
  <sheetViews>
    <sheetView view="pageBreakPreview" topLeftCell="A10" zoomScale="130" zoomScaleNormal="100" zoomScaleSheetLayoutView="130" workbookViewId="0">
      <selection activeCell="M37" sqref="M37"/>
    </sheetView>
  </sheetViews>
  <sheetFormatPr baseColWidth="10" defaultColWidth="9" defaultRowHeight="16"/>
  <cols>
    <col min="1" max="69" width="2.1640625" style="17" customWidth="1"/>
    <col min="70" max="16384" width="9" style="17"/>
  </cols>
  <sheetData>
    <row r="1" spans="2:63">
      <c r="B1" s="239" t="s">
        <v>22</v>
      </c>
      <c r="C1" s="239"/>
      <c r="D1" s="239"/>
      <c r="E1" s="239"/>
      <c r="F1" s="239"/>
      <c r="G1" s="239"/>
      <c r="H1" s="239"/>
      <c r="I1" s="239"/>
      <c r="J1" s="239"/>
      <c r="K1" s="239"/>
      <c r="L1" s="239"/>
      <c r="M1" s="239"/>
      <c r="N1" s="239"/>
      <c r="O1" s="239"/>
      <c r="P1" s="239"/>
      <c r="Q1" s="239"/>
      <c r="R1" s="239"/>
      <c r="S1" s="239"/>
      <c r="T1" s="239"/>
      <c r="U1" s="239"/>
    </row>
    <row r="2" spans="2:63">
      <c r="B2" s="239"/>
      <c r="C2" s="239"/>
      <c r="D2" s="239"/>
      <c r="E2" s="239"/>
      <c r="F2" s="239"/>
      <c r="G2" s="239"/>
      <c r="H2" s="239"/>
      <c r="I2" s="239"/>
      <c r="J2" s="239"/>
      <c r="K2" s="239"/>
      <c r="L2" s="239"/>
      <c r="M2" s="239"/>
      <c r="N2" s="239"/>
      <c r="O2" s="239"/>
      <c r="P2" s="239"/>
      <c r="Q2" s="239"/>
      <c r="R2" s="239"/>
      <c r="S2" s="239"/>
      <c r="T2" s="239"/>
      <c r="U2" s="239"/>
      <c r="Z2" s="193"/>
      <c r="AA2" s="193"/>
      <c r="AB2" s="193"/>
      <c r="AC2" s="193"/>
      <c r="AD2" s="193"/>
      <c r="AE2" s="193"/>
      <c r="AF2" s="193"/>
      <c r="AH2" s="193"/>
      <c r="AI2" s="193"/>
      <c r="AJ2" s="193"/>
      <c r="AL2" s="193"/>
      <c r="AM2" s="193"/>
      <c r="AN2" s="193"/>
    </row>
    <row r="4" spans="2:63">
      <c r="B4" s="200" t="s">
        <v>23</v>
      </c>
      <c r="C4" s="200"/>
      <c r="D4" s="200"/>
      <c r="E4" s="200"/>
      <c r="F4" s="200"/>
      <c r="G4" s="200"/>
      <c r="H4" s="200"/>
      <c r="I4" s="200"/>
      <c r="J4" s="200"/>
      <c r="K4" s="200"/>
      <c r="L4" s="200"/>
      <c r="M4" s="200"/>
      <c r="N4" s="200"/>
      <c r="O4" s="200"/>
      <c r="P4" s="200"/>
      <c r="Q4" s="200"/>
      <c r="R4" s="200"/>
      <c r="S4" s="200"/>
      <c r="T4" s="200"/>
      <c r="U4" s="200"/>
      <c r="V4" s="200"/>
      <c r="AK4" s="193" t="s">
        <v>24</v>
      </c>
      <c r="AL4" s="193"/>
      <c r="AM4" s="193"/>
      <c r="AN4" s="193"/>
      <c r="AO4" s="193"/>
      <c r="AP4" s="193"/>
      <c r="AQ4" s="193"/>
      <c r="AR4" s="17" t="s">
        <v>25</v>
      </c>
      <c r="AS4" s="193"/>
      <c r="AT4" s="193"/>
      <c r="AU4" s="193"/>
      <c r="AV4" s="17" t="s">
        <v>26</v>
      </c>
      <c r="AW4" s="193"/>
      <c r="AX4" s="193"/>
      <c r="AY4" s="193"/>
      <c r="AZ4" s="17" t="s">
        <v>27</v>
      </c>
    </row>
    <row r="5" spans="2:63" ht="14.25" customHeight="1">
      <c r="B5" s="232" t="s">
        <v>28</v>
      </c>
      <c r="C5" s="232"/>
      <c r="D5" s="237" t="s">
        <v>29</v>
      </c>
      <c r="E5" s="237"/>
      <c r="F5" s="237"/>
      <c r="G5" s="237"/>
      <c r="H5" s="237"/>
      <c r="I5" s="237"/>
      <c r="J5" s="238"/>
      <c r="K5" s="195"/>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7"/>
      <c r="BF5" s="201" t="s">
        <v>30</v>
      </c>
      <c r="BG5" s="201"/>
      <c r="BH5" s="201"/>
      <c r="BI5" s="201"/>
      <c r="BJ5" s="201"/>
      <c r="BK5" s="201"/>
    </row>
    <row r="6" spans="2:63" ht="14.25" customHeight="1">
      <c r="B6" s="232"/>
      <c r="C6" s="232"/>
      <c r="D6" s="225" t="s">
        <v>31</v>
      </c>
      <c r="E6" s="216"/>
      <c r="F6" s="216"/>
      <c r="G6" s="216"/>
      <c r="H6" s="216"/>
      <c r="I6" s="216"/>
      <c r="J6" s="216"/>
      <c r="K6" s="204"/>
      <c r="L6" s="205"/>
      <c r="M6" s="205"/>
      <c r="N6" s="205"/>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6"/>
      <c r="BF6" s="201"/>
      <c r="BG6" s="201"/>
      <c r="BH6" s="201"/>
      <c r="BI6" s="201"/>
      <c r="BJ6" s="201"/>
      <c r="BK6" s="201"/>
    </row>
    <row r="7" spans="2:63" ht="14.25" customHeight="1">
      <c r="B7" s="232"/>
      <c r="C7" s="232"/>
      <c r="D7" s="236"/>
      <c r="E7" s="233"/>
      <c r="F7" s="233"/>
      <c r="G7" s="233"/>
      <c r="H7" s="233"/>
      <c r="I7" s="233"/>
      <c r="J7" s="233"/>
      <c r="K7" s="207"/>
      <c r="L7" s="208"/>
      <c r="M7" s="208"/>
      <c r="N7" s="208"/>
      <c r="O7" s="208"/>
      <c r="P7" s="208"/>
      <c r="Q7" s="208"/>
      <c r="R7" s="208"/>
      <c r="S7" s="208"/>
      <c r="T7" s="208"/>
      <c r="U7" s="208"/>
      <c r="V7" s="208"/>
      <c r="W7" s="208"/>
      <c r="X7" s="208"/>
      <c r="Y7" s="208"/>
      <c r="Z7" s="208"/>
      <c r="AA7" s="208"/>
      <c r="AB7" s="208"/>
      <c r="AC7" s="208"/>
      <c r="AD7" s="208"/>
      <c r="AE7" s="208"/>
      <c r="AF7" s="208"/>
      <c r="AG7" s="208"/>
      <c r="AH7" s="208"/>
      <c r="AI7" s="208"/>
      <c r="AJ7" s="208"/>
      <c r="AK7" s="208"/>
      <c r="AL7" s="208"/>
      <c r="AM7" s="208"/>
      <c r="AN7" s="208"/>
      <c r="AO7" s="208"/>
      <c r="AP7" s="208"/>
      <c r="AQ7" s="208"/>
      <c r="AR7" s="208"/>
      <c r="AS7" s="208"/>
      <c r="AT7" s="208"/>
      <c r="AU7" s="208"/>
      <c r="AV7" s="208"/>
      <c r="AW7" s="208"/>
      <c r="AX7" s="208"/>
      <c r="AY7" s="208"/>
      <c r="AZ7" s="208"/>
      <c r="BA7" s="208"/>
      <c r="BB7" s="208"/>
      <c r="BC7" s="208"/>
      <c r="BD7" s="208"/>
      <c r="BE7" s="209"/>
      <c r="BF7" s="201"/>
      <c r="BG7" s="201"/>
      <c r="BH7" s="201"/>
      <c r="BI7" s="201"/>
      <c r="BJ7" s="201"/>
      <c r="BK7" s="201"/>
    </row>
    <row r="8" spans="2:63" ht="14.25" customHeight="1">
      <c r="B8" s="232"/>
      <c r="C8" s="232"/>
      <c r="D8" s="237" t="s">
        <v>32</v>
      </c>
      <c r="E8" s="237"/>
      <c r="F8" s="237"/>
      <c r="G8" s="237"/>
      <c r="H8" s="237"/>
      <c r="I8" s="237"/>
      <c r="J8" s="238"/>
      <c r="K8" s="189"/>
      <c r="L8" s="190"/>
      <c r="M8" s="190"/>
      <c r="N8" s="190"/>
      <c r="O8" s="190"/>
      <c r="P8" s="190"/>
      <c r="Q8" s="190"/>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201"/>
      <c r="BG8" s="201"/>
      <c r="BH8" s="201"/>
      <c r="BI8" s="201"/>
      <c r="BJ8" s="201"/>
      <c r="BK8" s="201"/>
    </row>
    <row r="9" spans="2:63" ht="14.25" customHeight="1">
      <c r="B9" s="232"/>
      <c r="C9" s="232"/>
      <c r="D9" s="234" t="s">
        <v>33</v>
      </c>
      <c r="E9" s="234"/>
      <c r="F9" s="234"/>
      <c r="G9" s="234"/>
      <c r="H9" s="234"/>
      <c r="I9" s="234"/>
      <c r="J9" s="225"/>
      <c r="K9" s="185"/>
      <c r="L9" s="186"/>
      <c r="M9" s="186"/>
      <c r="N9" s="186"/>
      <c r="O9" s="186"/>
      <c r="P9" s="186"/>
      <c r="Q9" s="186"/>
      <c r="R9" s="186"/>
      <c r="S9" s="186"/>
      <c r="T9" s="186"/>
      <c r="U9" s="186"/>
      <c r="V9" s="186"/>
      <c r="W9" s="186"/>
      <c r="X9" s="186"/>
      <c r="Y9" s="186"/>
      <c r="Z9" s="186"/>
      <c r="AA9" s="186"/>
      <c r="AB9" s="186"/>
      <c r="AC9" s="186"/>
      <c r="AD9" s="186"/>
      <c r="AE9" s="186"/>
      <c r="AF9" s="186"/>
      <c r="AG9" s="186"/>
      <c r="AH9" s="186"/>
      <c r="AI9" s="186"/>
      <c r="AJ9" s="186"/>
      <c r="AK9" s="186"/>
      <c r="AL9" s="186"/>
      <c r="AM9" s="186"/>
      <c r="AN9" s="186"/>
      <c r="AO9" s="186"/>
      <c r="AP9" s="186"/>
      <c r="AQ9" s="186"/>
      <c r="AR9" s="186"/>
      <c r="AS9" s="186"/>
      <c r="AT9" s="186"/>
      <c r="AU9" s="186"/>
      <c r="AV9" s="186"/>
      <c r="AW9" s="186"/>
      <c r="AX9" s="186"/>
      <c r="AY9" s="186"/>
      <c r="AZ9" s="186"/>
      <c r="BA9" s="186"/>
      <c r="BB9" s="186"/>
      <c r="BC9" s="186"/>
      <c r="BD9" s="186"/>
      <c r="BE9" s="186"/>
      <c r="BF9" s="201"/>
      <c r="BG9" s="201"/>
      <c r="BH9" s="201"/>
      <c r="BI9" s="201"/>
      <c r="BJ9" s="201"/>
      <c r="BK9" s="201"/>
    </row>
    <row r="10" spans="2:63" ht="14.25" customHeight="1">
      <c r="B10" s="232"/>
      <c r="C10" s="232"/>
      <c r="D10" s="235"/>
      <c r="E10" s="235"/>
      <c r="F10" s="235"/>
      <c r="G10" s="235"/>
      <c r="H10" s="235"/>
      <c r="I10" s="235"/>
      <c r="J10" s="236"/>
      <c r="K10" s="187"/>
      <c r="L10" s="188"/>
      <c r="M10" s="188"/>
      <c r="N10" s="188"/>
      <c r="O10" s="188"/>
      <c r="P10" s="188"/>
      <c r="Q10" s="188"/>
      <c r="R10" s="188"/>
      <c r="S10" s="188"/>
      <c r="T10" s="188"/>
      <c r="U10" s="188"/>
      <c r="V10" s="188"/>
      <c r="W10" s="188"/>
      <c r="X10" s="188"/>
      <c r="Y10" s="188"/>
      <c r="Z10" s="188"/>
      <c r="AA10" s="188"/>
      <c r="AB10" s="188"/>
      <c r="AC10" s="188"/>
      <c r="AD10" s="188"/>
      <c r="AE10" s="188"/>
      <c r="AF10" s="188"/>
      <c r="AG10" s="188"/>
      <c r="AH10" s="188"/>
      <c r="AI10" s="188"/>
      <c r="AJ10" s="188"/>
      <c r="AK10" s="188"/>
      <c r="AL10" s="188"/>
      <c r="AM10" s="188"/>
      <c r="AN10" s="188"/>
      <c r="AO10" s="188"/>
      <c r="AP10" s="188"/>
      <c r="AQ10" s="188"/>
      <c r="AR10" s="188"/>
      <c r="AS10" s="188"/>
      <c r="AT10" s="188"/>
      <c r="AU10" s="188"/>
      <c r="AV10" s="188"/>
      <c r="AW10" s="188"/>
      <c r="AX10" s="188"/>
      <c r="AY10" s="188"/>
      <c r="AZ10" s="188"/>
      <c r="BA10" s="188"/>
      <c r="BB10" s="188"/>
      <c r="BC10" s="188"/>
      <c r="BD10" s="188"/>
      <c r="BE10" s="188"/>
      <c r="BF10" s="201"/>
      <c r="BG10" s="201"/>
      <c r="BH10" s="201"/>
      <c r="BI10" s="201"/>
      <c r="BJ10" s="201"/>
      <c r="BK10" s="201"/>
    </row>
    <row r="11" spans="2:63" ht="14.25" customHeight="1">
      <c r="B11" s="232"/>
      <c r="C11" s="232"/>
      <c r="D11" s="217" t="s">
        <v>34</v>
      </c>
      <c r="E11" s="217"/>
      <c r="F11" s="217"/>
      <c r="G11" s="217"/>
      <c r="H11" s="217"/>
      <c r="I11" s="217"/>
      <c r="J11" s="219"/>
      <c r="K11" s="198" t="s">
        <v>35</v>
      </c>
      <c r="L11" s="199"/>
      <c r="M11" s="199"/>
      <c r="N11" s="199"/>
      <c r="O11" s="199"/>
      <c r="P11" s="199"/>
      <c r="Q11" s="199"/>
      <c r="R11" s="199"/>
      <c r="S11" s="199"/>
      <c r="T11" s="199"/>
      <c r="U11" s="199"/>
      <c r="V11" s="199"/>
      <c r="W11" s="199"/>
      <c r="X11" s="199"/>
      <c r="Y11" s="199"/>
      <c r="Z11" s="199"/>
      <c r="AA11" s="199"/>
      <c r="AB11" s="199"/>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199"/>
      <c r="BF11" s="199"/>
      <c r="BG11" s="199"/>
      <c r="BH11" s="199"/>
      <c r="BI11" s="199"/>
      <c r="BJ11" s="199"/>
      <c r="BK11" s="199"/>
    </row>
    <row r="12" spans="2:63" ht="14.25" customHeight="1">
      <c r="B12" s="232"/>
      <c r="C12" s="232"/>
      <c r="D12" s="217"/>
      <c r="E12" s="217"/>
      <c r="F12" s="217"/>
      <c r="G12" s="217"/>
      <c r="H12" s="217"/>
      <c r="I12" s="217"/>
      <c r="J12" s="219"/>
      <c r="K12" s="198"/>
      <c r="L12" s="199"/>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199"/>
      <c r="BF12" s="199"/>
      <c r="BG12" s="199"/>
      <c r="BH12" s="199"/>
      <c r="BI12" s="199"/>
      <c r="BJ12" s="199"/>
      <c r="BK12" s="199"/>
    </row>
    <row r="13" spans="2:63" ht="14.25" customHeight="1">
      <c r="B13" s="232"/>
      <c r="C13" s="232"/>
      <c r="D13" s="217"/>
      <c r="E13" s="217"/>
      <c r="F13" s="217"/>
      <c r="G13" s="217"/>
      <c r="H13" s="217"/>
      <c r="I13" s="217"/>
      <c r="J13" s="219"/>
      <c r="K13" s="198"/>
      <c r="L13" s="199"/>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c r="BE13" s="199"/>
      <c r="BF13" s="199"/>
      <c r="BG13" s="199"/>
      <c r="BH13" s="199"/>
      <c r="BI13" s="199"/>
      <c r="BJ13" s="199"/>
      <c r="BK13" s="199"/>
    </row>
    <row r="14" spans="2:63" ht="14.25" customHeight="1">
      <c r="B14" s="232"/>
      <c r="C14" s="232"/>
      <c r="D14" s="237" t="s">
        <v>32</v>
      </c>
      <c r="E14" s="237"/>
      <c r="F14" s="237"/>
      <c r="G14" s="237"/>
      <c r="H14" s="237"/>
      <c r="I14" s="237"/>
      <c r="J14" s="238"/>
      <c r="K14" s="189"/>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237" t="s">
        <v>32</v>
      </c>
      <c r="AI14" s="237"/>
      <c r="AJ14" s="237"/>
      <c r="AK14" s="237"/>
      <c r="AL14" s="237"/>
      <c r="AM14" s="237"/>
      <c r="AN14" s="238"/>
      <c r="AO14" s="189"/>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row>
    <row r="15" spans="2:63" ht="14.25" customHeight="1">
      <c r="B15" s="232"/>
      <c r="C15" s="232"/>
      <c r="D15" s="234" t="s">
        <v>36</v>
      </c>
      <c r="E15" s="234"/>
      <c r="F15" s="234"/>
      <c r="G15" s="234"/>
      <c r="H15" s="234"/>
      <c r="I15" s="234"/>
      <c r="J15" s="225"/>
      <c r="K15" s="185"/>
      <c r="L15" s="186"/>
      <c r="M15" s="186"/>
      <c r="N15" s="186"/>
      <c r="O15" s="186"/>
      <c r="P15" s="186"/>
      <c r="Q15" s="186"/>
      <c r="R15" s="186"/>
      <c r="S15" s="186"/>
      <c r="T15" s="186"/>
      <c r="U15" s="186"/>
      <c r="V15" s="186"/>
      <c r="W15" s="186"/>
      <c r="X15" s="186"/>
      <c r="Y15" s="186"/>
      <c r="Z15" s="186"/>
      <c r="AA15" s="186"/>
      <c r="AB15" s="186"/>
      <c r="AC15" s="186"/>
      <c r="AD15" s="186"/>
      <c r="AE15" s="186"/>
      <c r="AF15" s="186"/>
      <c r="AG15" s="186"/>
      <c r="AH15" s="234" t="s">
        <v>37</v>
      </c>
      <c r="AI15" s="234"/>
      <c r="AJ15" s="234"/>
      <c r="AK15" s="234"/>
      <c r="AL15" s="234"/>
      <c r="AM15" s="234"/>
      <c r="AN15" s="225"/>
      <c r="AO15" s="185"/>
      <c r="AP15" s="186"/>
      <c r="AQ15" s="186"/>
      <c r="AR15" s="186"/>
      <c r="AS15" s="186"/>
      <c r="AT15" s="186"/>
      <c r="AU15" s="186"/>
      <c r="AV15" s="186"/>
      <c r="AW15" s="186"/>
      <c r="AX15" s="186"/>
      <c r="AY15" s="186"/>
      <c r="AZ15" s="186"/>
      <c r="BA15" s="186"/>
      <c r="BB15" s="186"/>
      <c r="BC15" s="186"/>
      <c r="BD15" s="186"/>
      <c r="BE15" s="186"/>
      <c r="BF15" s="186"/>
      <c r="BG15" s="186"/>
      <c r="BH15" s="186"/>
      <c r="BI15" s="186"/>
      <c r="BJ15" s="186"/>
      <c r="BK15" s="186"/>
    </row>
    <row r="16" spans="2:63" ht="14.25" customHeight="1">
      <c r="B16" s="232"/>
      <c r="C16" s="232"/>
      <c r="D16" s="235"/>
      <c r="E16" s="235"/>
      <c r="F16" s="235"/>
      <c r="G16" s="235"/>
      <c r="H16" s="235"/>
      <c r="I16" s="235"/>
      <c r="J16" s="236"/>
      <c r="K16" s="187"/>
      <c r="L16" s="188"/>
      <c r="M16" s="188"/>
      <c r="N16" s="188"/>
      <c r="O16" s="188"/>
      <c r="P16" s="188"/>
      <c r="Q16" s="188"/>
      <c r="R16" s="188"/>
      <c r="S16" s="188"/>
      <c r="T16" s="188"/>
      <c r="U16" s="188"/>
      <c r="V16" s="188"/>
      <c r="W16" s="188"/>
      <c r="X16" s="188"/>
      <c r="Y16" s="188"/>
      <c r="Z16" s="188"/>
      <c r="AA16" s="188"/>
      <c r="AB16" s="188"/>
      <c r="AC16" s="188"/>
      <c r="AD16" s="188"/>
      <c r="AE16" s="188"/>
      <c r="AF16" s="188"/>
      <c r="AG16" s="188"/>
      <c r="AH16" s="235"/>
      <c r="AI16" s="235"/>
      <c r="AJ16" s="235"/>
      <c r="AK16" s="235"/>
      <c r="AL16" s="235"/>
      <c r="AM16" s="235"/>
      <c r="AN16" s="236"/>
      <c r="AO16" s="187"/>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row>
    <row r="17" spans="2:63" ht="14.25" customHeight="1">
      <c r="B17" s="232"/>
      <c r="C17" s="232"/>
      <c r="D17" s="217" t="s">
        <v>9</v>
      </c>
      <c r="E17" s="217"/>
      <c r="F17" s="217"/>
      <c r="G17" s="217"/>
      <c r="H17" s="217"/>
      <c r="I17" s="217"/>
      <c r="J17" s="219"/>
      <c r="K17" s="179" t="s">
        <v>38</v>
      </c>
      <c r="L17" s="163"/>
      <c r="M17" s="163"/>
      <c r="N17" s="163"/>
      <c r="O17" s="163"/>
      <c r="P17" s="163"/>
      <c r="Q17" s="163"/>
      <c r="R17" s="163"/>
      <c r="S17" s="163"/>
      <c r="T17" s="163"/>
      <c r="U17" s="163"/>
      <c r="V17" s="163"/>
      <c r="W17" s="163"/>
      <c r="X17" s="163"/>
      <c r="Y17" s="163"/>
      <c r="Z17" s="163"/>
      <c r="AA17" s="163"/>
      <c r="AB17" s="163"/>
      <c r="AC17" s="163"/>
      <c r="AD17" s="163"/>
      <c r="AE17" s="163"/>
      <c r="AF17" s="163"/>
      <c r="AG17" s="163"/>
      <c r="AH17" s="217" t="s">
        <v>10</v>
      </c>
      <c r="AI17" s="217"/>
      <c r="AJ17" s="217"/>
      <c r="AK17" s="217"/>
      <c r="AL17" s="217"/>
      <c r="AM17" s="217"/>
      <c r="AN17" s="219"/>
      <c r="AO17" s="179" t="s">
        <v>39</v>
      </c>
      <c r="AP17" s="163"/>
      <c r="AQ17" s="163"/>
      <c r="AR17" s="163"/>
      <c r="AS17" s="163"/>
      <c r="AT17" s="163"/>
      <c r="AU17" s="163"/>
      <c r="AV17" s="163"/>
      <c r="AW17" s="163"/>
      <c r="AX17" s="163"/>
      <c r="AY17" s="163"/>
      <c r="AZ17" s="163"/>
      <c r="BA17" s="163"/>
      <c r="BB17" s="163"/>
      <c r="BC17" s="163"/>
      <c r="BD17" s="163"/>
      <c r="BE17" s="163"/>
      <c r="BF17" s="163"/>
      <c r="BG17" s="163"/>
      <c r="BH17" s="163"/>
      <c r="BI17" s="163"/>
      <c r="BJ17" s="163"/>
      <c r="BK17" s="163"/>
    </row>
    <row r="18" spans="2:63" ht="14.25" customHeight="1">
      <c r="B18" s="232"/>
      <c r="C18" s="232"/>
      <c r="D18" s="217"/>
      <c r="E18" s="217"/>
      <c r="F18" s="217"/>
      <c r="G18" s="217"/>
      <c r="H18" s="217"/>
      <c r="I18" s="217"/>
      <c r="J18" s="219"/>
      <c r="K18" s="180"/>
      <c r="L18" s="163"/>
      <c r="M18" s="163"/>
      <c r="N18" s="163"/>
      <c r="O18" s="163"/>
      <c r="P18" s="163"/>
      <c r="Q18" s="163"/>
      <c r="R18" s="163"/>
      <c r="S18" s="163"/>
      <c r="T18" s="163"/>
      <c r="U18" s="163"/>
      <c r="V18" s="163"/>
      <c r="W18" s="163"/>
      <c r="X18" s="163"/>
      <c r="Y18" s="163"/>
      <c r="Z18" s="163"/>
      <c r="AA18" s="163"/>
      <c r="AB18" s="163"/>
      <c r="AC18" s="163"/>
      <c r="AD18" s="163"/>
      <c r="AE18" s="163"/>
      <c r="AF18" s="163"/>
      <c r="AG18" s="163"/>
      <c r="AH18" s="217"/>
      <c r="AI18" s="217"/>
      <c r="AJ18" s="217"/>
      <c r="AK18" s="217"/>
      <c r="AL18" s="217"/>
      <c r="AM18" s="217"/>
      <c r="AN18" s="219"/>
      <c r="AO18" s="180"/>
      <c r="AP18" s="163"/>
      <c r="AQ18" s="163"/>
      <c r="AR18" s="163"/>
      <c r="AS18" s="163"/>
      <c r="AT18" s="163"/>
      <c r="AU18" s="163"/>
      <c r="AV18" s="163"/>
      <c r="AW18" s="163"/>
      <c r="AX18" s="163"/>
      <c r="AY18" s="163"/>
      <c r="AZ18" s="163"/>
      <c r="BA18" s="163"/>
      <c r="BB18" s="163"/>
      <c r="BC18" s="163"/>
      <c r="BD18" s="163"/>
      <c r="BE18" s="163"/>
      <c r="BF18" s="163"/>
      <c r="BG18" s="163"/>
      <c r="BH18" s="163"/>
      <c r="BI18" s="163"/>
      <c r="BJ18" s="163"/>
      <c r="BK18" s="163"/>
    </row>
    <row r="19" spans="2:63" ht="14.25" customHeight="1">
      <c r="B19" s="232"/>
      <c r="C19" s="232"/>
      <c r="D19" s="217" t="s">
        <v>40</v>
      </c>
      <c r="E19" s="217"/>
      <c r="F19" s="217"/>
      <c r="G19" s="217"/>
      <c r="H19" s="217"/>
      <c r="I19" s="217"/>
      <c r="J19" s="219"/>
      <c r="K19" s="180" t="s">
        <v>41</v>
      </c>
      <c r="L19" s="163"/>
      <c r="M19" s="163"/>
      <c r="N19" s="163"/>
      <c r="O19" s="163"/>
      <c r="P19" s="163"/>
      <c r="Q19" s="163"/>
      <c r="R19" s="163"/>
      <c r="S19" s="163"/>
      <c r="T19" s="163"/>
      <c r="U19" s="163"/>
      <c r="V19" s="163"/>
      <c r="W19" s="163"/>
      <c r="X19" s="163"/>
      <c r="Y19" s="163"/>
      <c r="Z19" s="163"/>
      <c r="AA19" s="163"/>
      <c r="AB19" s="163"/>
      <c r="AC19" s="163"/>
      <c r="AD19" s="163"/>
      <c r="AE19" s="163"/>
      <c r="AF19" s="163"/>
      <c r="AG19" s="163"/>
      <c r="AH19" s="217" t="s">
        <v>42</v>
      </c>
      <c r="AI19" s="217"/>
      <c r="AJ19" s="217"/>
      <c r="AK19" s="217"/>
      <c r="AL19" s="217"/>
      <c r="AM19" s="217"/>
      <c r="AN19" s="219"/>
      <c r="AO19" s="180"/>
      <c r="AP19" s="163"/>
      <c r="AQ19" s="163"/>
      <c r="AR19" s="163"/>
      <c r="AS19" s="163"/>
      <c r="AT19" s="163"/>
      <c r="AU19" s="163"/>
      <c r="AV19" s="163"/>
      <c r="AW19" s="163"/>
      <c r="AX19" s="163"/>
      <c r="AY19" s="163"/>
      <c r="AZ19" s="163"/>
      <c r="BA19" s="163"/>
      <c r="BB19" s="163"/>
      <c r="BC19" s="163"/>
      <c r="BD19" s="163"/>
      <c r="BE19" s="163"/>
      <c r="BF19" s="163"/>
      <c r="BG19" s="163"/>
      <c r="BH19" s="163"/>
      <c r="BI19" s="163"/>
      <c r="BJ19" s="163"/>
      <c r="BK19" s="163"/>
    </row>
    <row r="20" spans="2:63" ht="14.25" customHeight="1">
      <c r="B20" s="232"/>
      <c r="C20" s="232"/>
      <c r="D20" s="217"/>
      <c r="E20" s="217"/>
      <c r="F20" s="217"/>
      <c r="G20" s="217"/>
      <c r="H20" s="217"/>
      <c r="I20" s="217"/>
      <c r="J20" s="219"/>
      <c r="K20" s="180"/>
      <c r="L20" s="163"/>
      <c r="M20" s="163"/>
      <c r="N20" s="163"/>
      <c r="O20" s="163"/>
      <c r="P20" s="163"/>
      <c r="Q20" s="163"/>
      <c r="R20" s="163"/>
      <c r="S20" s="163"/>
      <c r="T20" s="163"/>
      <c r="U20" s="163"/>
      <c r="V20" s="163"/>
      <c r="W20" s="163"/>
      <c r="X20" s="163"/>
      <c r="Y20" s="163"/>
      <c r="Z20" s="163"/>
      <c r="AA20" s="163"/>
      <c r="AB20" s="163"/>
      <c r="AC20" s="163"/>
      <c r="AD20" s="163"/>
      <c r="AE20" s="163"/>
      <c r="AF20" s="163"/>
      <c r="AG20" s="163"/>
      <c r="AH20" s="217"/>
      <c r="AI20" s="217"/>
      <c r="AJ20" s="217"/>
      <c r="AK20" s="217"/>
      <c r="AL20" s="217"/>
      <c r="AM20" s="217"/>
      <c r="AN20" s="219"/>
      <c r="AO20" s="180"/>
      <c r="AP20" s="163"/>
      <c r="AQ20" s="163"/>
      <c r="AR20" s="163"/>
      <c r="AS20" s="163"/>
      <c r="AT20" s="163"/>
      <c r="AU20" s="163"/>
      <c r="AV20" s="163"/>
      <c r="AW20" s="163"/>
      <c r="AX20" s="163"/>
      <c r="AY20" s="163"/>
      <c r="AZ20" s="163"/>
      <c r="BA20" s="163"/>
      <c r="BB20" s="163"/>
      <c r="BC20" s="163"/>
      <c r="BD20" s="163"/>
      <c r="BE20" s="163"/>
      <c r="BF20" s="163"/>
      <c r="BG20" s="163"/>
      <c r="BH20" s="163"/>
      <c r="BI20" s="163"/>
      <c r="BJ20" s="163"/>
      <c r="BK20" s="163"/>
    </row>
    <row r="21" spans="2:63" ht="14.25" customHeight="1"/>
    <row r="22" spans="2:63" ht="14.25" customHeight="1">
      <c r="B22" s="232" t="s">
        <v>43</v>
      </c>
      <c r="C22" s="232"/>
      <c r="D22" s="217" t="s">
        <v>44</v>
      </c>
      <c r="E22" s="217"/>
      <c r="F22" s="217"/>
      <c r="G22" s="217"/>
      <c r="H22" s="217"/>
      <c r="I22" s="217"/>
      <c r="J22" s="219"/>
      <c r="K22" s="180" t="s">
        <v>45</v>
      </c>
      <c r="L22" s="163"/>
      <c r="M22" s="163"/>
      <c r="N22" s="163"/>
      <c r="O22" s="163"/>
      <c r="P22" s="163"/>
      <c r="Q22" s="163"/>
      <c r="R22" s="163"/>
      <c r="S22" s="163"/>
      <c r="T22" s="163"/>
      <c r="U22" s="163"/>
      <c r="V22" s="163"/>
      <c r="W22" s="163"/>
      <c r="X22" s="217" t="s">
        <v>46</v>
      </c>
      <c r="Y22" s="217"/>
      <c r="Z22" s="217"/>
      <c r="AA22" s="217"/>
      <c r="AB22" s="217"/>
      <c r="AC22" s="217"/>
      <c r="AD22" s="218"/>
      <c r="AE22" s="157" t="e">
        <f>IF(#REF!="","",HLOOKUP(#REF!,#REF!,8,FALSE))</f>
        <v>#REF!</v>
      </c>
      <c r="AF22" s="163"/>
      <c r="AG22" s="163"/>
      <c r="AH22" s="163"/>
      <c r="AI22" s="163"/>
      <c r="AJ22" s="163"/>
      <c r="AK22" s="163"/>
      <c r="AL22" s="163"/>
      <c r="AM22" s="163"/>
      <c r="AN22" s="163"/>
      <c r="AO22" s="163"/>
      <c r="AP22" s="163"/>
      <c r="AQ22" s="163"/>
      <c r="AR22" s="219" t="s">
        <v>48</v>
      </c>
      <c r="AS22" s="220"/>
      <c r="AT22" s="220"/>
      <c r="AU22" s="220"/>
      <c r="AV22" s="220"/>
      <c r="AW22" s="220"/>
      <c r="AX22" s="220"/>
      <c r="AY22" s="156" t="s">
        <v>49</v>
      </c>
      <c r="AZ22" s="156"/>
      <c r="BA22" s="156"/>
      <c r="BB22" s="156"/>
      <c r="BC22" s="156"/>
      <c r="BD22" s="156"/>
      <c r="BE22" s="156"/>
      <c r="BF22" s="156"/>
      <c r="BG22" s="156"/>
      <c r="BH22" s="156"/>
      <c r="BI22" s="156"/>
      <c r="BJ22" s="156"/>
      <c r="BK22" s="157"/>
    </row>
    <row r="23" spans="2:63" ht="14.25" customHeight="1">
      <c r="B23" s="232"/>
      <c r="C23" s="232"/>
      <c r="D23" s="217"/>
      <c r="E23" s="217"/>
      <c r="F23" s="217"/>
      <c r="G23" s="217"/>
      <c r="H23" s="217"/>
      <c r="I23" s="217"/>
      <c r="J23" s="219"/>
      <c r="K23" s="180"/>
      <c r="L23" s="163"/>
      <c r="M23" s="163"/>
      <c r="N23" s="163"/>
      <c r="O23" s="163"/>
      <c r="P23" s="163"/>
      <c r="Q23" s="163"/>
      <c r="R23" s="163"/>
      <c r="S23" s="163"/>
      <c r="T23" s="163"/>
      <c r="U23" s="163"/>
      <c r="V23" s="163"/>
      <c r="W23" s="163"/>
      <c r="X23" s="217"/>
      <c r="Y23" s="217"/>
      <c r="Z23" s="217"/>
      <c r="AA23" s="217"/>
      <c r="AB23" s="217"/>
      <c r="AC23" s="217"/>
      <c r="AD23" s="218"/>
      <c r="AE23" s="157"/>
      <c r="AF23" s="163"/>
      <c r="AG23" s="163"/>
      <c r="AH23" s="163"/>
      <c r="AI23" s="163"/>
      <c r="AJ23" s="163"/>
      <c r="AK23" s="163"/>
      <c r="AL23" s="163"/>
      <c r="AM23" s="163"/>
      <c r="AN23" s="163"/>
      <c r="AO23" s="163"/>
      <c r="AP23" s="163"/>
      <c r="AQ23" s="163"/>
      <c r="AR23" s="219"/>
      <c r="AS23" s="220"/>
      <c r="AT23" s="220"/>
      <c r="AU23" s="220"/>
      <c r="AV23" s="220"/>
      <c r="AW23" s="220"/>
      <c r="AX23" s="220"/>
      <c r="AY23" s="156"/>
      <c r="AZ23" s="156"/>
      <c r="BA23" s="156"/>
      <c r="BB23" s="156"/>
      <c r="BC23" s="156"/>
      <c r="BD23" s="156"/>
      <c r="BE23" s="156"/>
      <c r="BF23" s="156"/>
      <c r="BG23" s="156"/>
      <c r="BH23" s="156"/>
      <c r="BI23" s="156"/>
      <c r="BJ23" s="156"/>
      <c r="BK23" s="157"/>
    </row>
    <row r="24" spans="2:63" ht="14.25" customHeight="1">
      <c r="B24" s="232"/>
      <c r="C24" s="232"/>
      <c r="D24" s="217" t="s">
        <v>50</v>
      </c>
      <c r="E24" s="217"/>
      <c r="F24" s="217"/>
      <c r="G24" s="217"/>
      <c r="H24" s="217"/>
      <c r="I24" s="217"/>
      <c r="J24" s="219"/>
      <c r="K24" s="180" t="s">
        <v>51</v>
      </c>
      <c r="L24" s="163"/>
      <c r="M24" s="163"/>
      <c r="N24" s="163"/>
      <c r="O24" s="163"/>
      <c r="P24" s="163"/>
      <c r="Q24" s="163"/>
      <c r="R24" s="163"/>
      <c r="S24" s="163"/>
      <c r="T24" s="163"/>
      <c r="U24" s="163"/>
      <c r="V24" s="163"/>
      <c r="W24" s="163"/>
      <c r="X24" s="217" t="s">
        <v>52</v>
      </c>
      <c r="Y24" s="217"/>
      <c r="Z24" s="217"/>
      <c r="AA24" s="217"/>
      <c r="AB24" s="217"/>
      <c r="AC24" s="217"/>
      <c r="AD24" s="218"/>
      <c r="AE24" s="157" t="s">
        <v>53</v>
      </c>
      <c r="AF24" s="163"/>
      <c r="AG24" s="163"/>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c r="BI24" s="163"/>
      <c r="BJ24" s="163"/>
      <c r="BK24" s="163"/>
    </row>
    <row r="25" spans="2:63" ht="14.25" customHeight="1">
      <c r="B25" s="232"/>
      <c r="C25" s="232"/>
      <c r="D25" s="217"/>
      <c r="E25" s="217"/>
      <c r="F25" s="217"/>
      <c r="G25" s="217"/>
      <c r="H25" s="217"/>
      <c r="I25" s="217"/>
      <c r="J25" s="219"/>
      <c r="K25" s="180"/>
      <c r="L25" s="163"/>
      <c r="M25" s="163"/>
      <c r="N25" s="163"/>
      <c r="O25" s="163"/>
      <c r="P25" s="163"/>
      <c r="Q25" s="163"/>
      <c r="R25" s="163"/>
      <c r="S25" s="163"/>
      <c r="T25" s="163"/>
      <c r="U25" s="163"/>
      <c r="V25" s="163"/>
      <c r="W25" s="163"/>
      <c r="X25" s="217"/>
      <c r="Y25" s="217"/>
      <c r="Z25" s="217"/>
      <c r="AA25" s="217"/>
      <c r="AB25" s="217"/>
      <c r="AC25" s="217"/>
      <c r="AD25" s="218"/>
      <c r="AE25" s="157"/>
      <c r="AF25" s="163"/>
      <c r="AG25" s="163"/>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c r="BI25" s="163"/>
      <c r="BJ25" s="163"/>
      <c r="BK25" s="163"/>
    </row>
    <row r="26" spans="2:63" ht="14.25" customHeight="1">
      <c r="B26" s="232"/>
      <c r="C26" s="232"/>
      <c r="D26" s="223" t="s">
        <v>54</v>
      </c>
      <c r="E26" s="224"/>
      <c r="F26" s="224"/>
      <c r="G26" s="224"/>
      <c r="H26" s="224"/>
      <c r="I26" s="224"/>
      <c r="J26" s="224"/>
      <c r="K26" s="226" t="e">
        <f>SUM(M28:W35)</f>
        <v>#REF!</v>
      </c>
      <c r="L26" s="226"/>
      <c r="M26" s="226"/>
      <c r="N26" s="226"/>
      <c r="O26" s="226"/>
      <c r="P26" s="226"/>
      <c r="Q26" s="226"/>
      <c r="R26" s="226"/>
      <c r="S26" s="226"/>
      <c r="T26" s="226"/>
      <c r="U26" s="226"/>
      <c r="V26" s="226"/>
      <c r="W26" s="227"/>
      <c r="X26" s="217" t="s">
        <v>55</v>
      </c>
      <c r="Y26" s="217"/>
      <c r="Z26" s="217"/>
      <c r="AA26" s="217"/>
      <c r="AB26" s="217"/>
      <c r="AC26" s="217"/>
      <c r="AD26" s="219"/>
      <c r="AE26" s="221" t="e">
        <f>IF(#REF!="","",HLOOKUP(#REF!,#REF!,5,FALSE))</f>
        <v>#REF!</v>
      </c>
      <c r="AF26" s="222"/>
      <c r="AG26" s="222"/>
      <c r="AH26" s="222"/>
      <c r="AI26" s="222"/>
      <c r="AJ26" s="222"/>
      <c r="AK26" s="222"/>
      <c r="AL26" s="222"/>
      <c r="AM26" s="222"/>
      <c r="AN26" s="222"/>
      <c r="AO26" s="222"/>
      <c r="AP26" s="222"/>
      <c r="AQ26" s="222"/>
      <c r="AR26" s="217" t="s">
        <v>56</v>
      </c>
      <c r="AS26" s="217"/>
      <c r="AT26" s="217"/>
      <c r="AU26" s="217"/>
      <c r="AV26" s="217"/>
      <c r="AW26" s="217"/>
      <c r="AX26" s="219"/>
      <c r="AY26" s="221" t="e">
        <f>IF(#REF!="","",HLOOKUP(#REF!,#REF!,6,FALSE))</f>
        <v>#REF!</v>
      </c>
      <c r="AZ26" s="222"/>
      <c r="BA26" s="222"/>
      <c r="BB26" s="222"/>
      <c r="BC26" s="222"/>
      <c r="BD26" s="222"/>
      <c r="BE26" s="222"/>
      <c r="BF26" s="222"/>
      <c r="BG26" s="222"/>
      <c r="BH26" s="222"/>
      <c r="BI26" s="222"/>
      <c r="BJ26" s="222"/>
      <c r="BK26" s="222"/>
    </row>
    <row r="27" spans="2:63" ht="14.25" customHeight="1">
      <c r="B27" s="232"/>
      <c r="C27" s="232"/>
      <c r="D27" s="225"/>
      <c r="E27" s="216"/>
      <c r="F27" s="216"/>
      <c r="G27" s="216"/>
      <c r="H27" s="216"/>
      <c r="I27" s="216"/>
      <c r="J27" s="216"/>
      <c r="K27" s="211"/>
      <c r="L27" s="211"/>
      <c r="M27" s="211"/>
      <c r="N27" s="211"/>
      <c r="O27" s="211"/>
      <c r="P27" s="211"/>
      <c r="Q27" s="211"/>
      <c r="R27" s="211"/>
      <c r="S27" s="211"/>
      <c r="T27" s="211"/>
      <c r="U27" s="211"/>
      <c r="V27" s="211"/>
      <c r="W27" s="212"/>
      <c r="X27" s="217"/>
      <c r="Y27" s="217"/>
      <c r="Z27" s="217"/>
      <c r="AA27" s="217"/>
      <c r="AB27" s="217"/>
      <c r="AC27" s="217"/>
      <c r="AD27" s="219"/>
      <c r="AE27" s="221"/>
      <c r="AF27" s="222"/>
      <c r="AG27" s="222"/>
      <c r="AH27" s="222"/>
      <c r="AI27" s="222"/>
      <c r="AJ27" s="222"/>
      <c r="AK27" s="222"/>
      <c r="AL27" s="222"/>
      <c r="AM27" s="222"/>
      <c r="AN27" s="222"/>
      <c r="AO27" s="222"/>
      <c r="AP27" s="222"/>
      <c r="AQ27" s="222"/>
      <c r="AR27" s="217"/>
      <c r="AS27" s="217"/>
      <c r="AT27" s="217"/>
      <c r="AU27" s="217"/>
      <c r="AV27" s="217"/>
      <c r="AW27" s="217"/>
      <c r="AX27" s="219"/>
      <c r="AY27" s="221"/>
      <c r="AZ27" s="222"/>
      <c r="BA27" s="222"/>
      <c r="BB27" s="222"/>
      <c r="BC27" s="222"/>
      <c r="BD27" s="222"/>
      <c r="BE27" s="222"/>
      <c r="BF27" s="222"/>
      <c r="BG27" s="222"/>
      <c r="BH27" s="222"/>
      <c r="BI27" s="222"/>
      <c r="BJ27" s="222"/>
      <c r="BK27" s="222"/>
    </row>
    <row r="28" spans="2:63" ht="14.25" customHeight="1">
      <c r="B28" s="232"/>
      <c r="C28" s="232"/>
      <c r="D28" s="228" t="s">
        <v>57</v>
      </c>
      <c r="E28" s="229"/>
      <c r="F28" s="216" t="s">
        <v>58</v>
      </c>
      <c r="G28" s="216"/>
      <c r="H28" s="216"/>
      <c r="I28" s="216"/>
      <c r="J28" s="216"/>
      <c r="K28" s="216"/>
      <c r="L28" s="216"/>
      <c r="M28" s="211" t="e">
        <f>IF(#REF!="","",HLOOKUP(#REF!,#REF!,2,FALSE))</f>
        <v>#REF!</v>
      </c>
      <c r="N28" s="211"/>
      <c r="O28" s="211"/>
      <c r="P28" s="211"/>
      <c r="Q28" s="211"/>
      <c r="R28" s="211"/>
      <c r="S28" s="211"/>
      <c r="T28" s="211"/>
      <c r="U28" s="211"/>
      <c r="V28" s="211"/>
      <c r="W28" s="212"/>
      <c r="BI28" s="215" t="s">
        <v>73</v>
      </c>
      <c r="BJ28" s="215"/>
      <c r="BK28" s="215"/>
    </row>
    <row r="29" spans="2:63" ht="14.25" customHeight="1">
      <c r="B29" s="232"/>
      <c r="C29" s="232"/>
      <c r="D29" s="228"/>
      <c r="E29" s="229"/>
      <c r="F29" s="216"/>
      <c r="G29" s="216"/>
      <c r="H29" s="216"/>
      <c r="I29" s="216"/>
      <c r="J29" s="216"/>
      <c r="K29" s="216"/>
      <c r="L29" s="216"/>
      <c r="M29" s="211"/>
      <c r="N29" s="211"/>
      <c r="O29" s="211"/>
      <c r="P29" s="211"/>
      <c r="Q29" s="211"/>
      <c r="R29" s="211"/>
      <c r="S29" s="211"/>
      <c r="T29" s="211"/>
      <c r="U29" s="211"/>
      <c r="V29" s="211"/>
      <c r="W29" s="212"/>
      <c r="Y29" s="155" t="s">
        <v>59</v>
      </c>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row>
    <row r="30" spans="2:63" ht="14.25" customHeight="1">
      <c r="B30" s="232"/>
      <c r="C30" s="232"/>
      <c r="D30" s="228"/>
      <c r="E30" s="229"/>
      <c r="F30" s="216" t="s">
        <v>60</v>
      </c>
      <c r="G30" s="216"/>
      <c r="H30" s="216"/>
      <c r="I30" s="216"/>
      <c r="J30" s="216"/>
      <c r="K30" s="216"/>
      <c r="L30" s="216"/>
      <c r="M30" s="211" t="e">
        <f>IF(#REF!="","",HLOOKUP(#REF!,#REF!,3,FALSE))</f>
        <v>#REF!</v>
      </c>
      <c r="N30" s="211"/>
      <c r="O30" s="211"/>
      <c r="P30" s="211"/>
      <c r="Q30" s="211"/>
      <c r="R30" s="211"/>
      <c r="S30" s="211"/>
      <c r="T30" s="211"/>
      <c r="U30" s="211"/>
      <c r="V30" s="211"/>
      <c r="W30" s="212"/>
      <c r="Y30" s="155" t="s">
        <v>61</v>
      </c>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row>
    <row r="31" spans="2:63" ht="14.25" customHeight="1">
      <c r="B31" s="232"/>
      <c r="C31" s="232"/>
      <c r="D31" s="228"/>
      <c r="E31" s="229"/>
      <c r="F31" s="216"/>
      <c r="G31" s="216"/>
      <c r="H31" s="216"/>
      <c r="I31" s="216"/>
      <c r="J31" s="216"/>
      <c r="K31" s="216"/>
      <c r="L31" s="216"/>
      <c r="M31" s="211"/>
      <c r="N31" s="211"/>
      <c r="O31" s="211"/>
      <c r="P31" s="211"/>
      <c r="Q31" s="211"/>
      <c r="R31" s="211"/>
      <c r="S31" s="211"/>
      <c r="T31" s="211"/>
      <c r="U31" s="211"/>
      <c r="V31" s="211"/>
      <c r="W31" s="212"/>
      <c r="Y31" s="155" t="s">
        <v>64</v>
      </c>
      <c r="Z31" s="155"/>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row>
    <row r="32" spans="2:63" ht="14.25" customHeight="1">
      <c r="B32" s="232"/>
      <c r="C32" s="232"/>
      <c r="D32" s="228"/>
      <c r="E32" s="229"/>
      <c r="F32" s="216" t="s">
        <v>63</v>
      </c>
      <c r="G32" s="216"/>
      <c r="H32" s="216"/>
      <c r="I32" s="216"/>
      <c r="J32" s="216"/>
      <c r="K32" s="216"/>
      <c r="L32" s="216"/>
      <c r="M32" s="211" t="e">
        <f>IF(#REF!="","",HLOOKUP(#REF!,#REF!,4,FALSE))</f>
        <v>#REF!</v>
      </c>
      <c r="N32" s="211"/>
      <c r="O32" s="211"/>
      <c r="P32" s="211"/>
      <c r="Q32" s="211"/>
      <c r="R32" s="211"/>
      <c r="S32" s="211"/>
      <c r="T32" s="211"/>
      <c r="U32" s="211"/>
      <c r="V32" s="211"/>
      <c r="W32" s="212"/>
      <c r="Y32" s="155" t="s">
        <v>62</v>
      </c>
      <c r="Z32" s="155"/>
      <c r="AA32" s="155"/>
      <c r="AB32" s="155"/>
      <c r="AC32" s="155"/>
      <c r="AD32" s="155"/>
      <c r="AE32" s="155"/>
      <c r="AF32" s="155"/>
      <c r="AG32" s="155"/>
      <c r="AH32" s="155"/>
      <c r="AI32" s="155"/>
      <c r="AJ32" s="155"/>
      <c r="AK32" s="155"/>
      <c r="AL32" s="155"/>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row>
    <row r="33" spans="2:63" ht="14.25" customHeight="1">
      <c r="B33" s="232"/>
      <c r="C33" s="232"/>
      <c r="D33" s="228"/>
      <c r="E33" s="229"/>
      <c r="F33" s="216"/>
      <c r="G33" s="216"/>
      <c r="H33" s="216"/>
      <c r="I33" s="216"/>
      <c r="J33" s="216"/>
      <c r="K33" s="216"/>
      <c r="L33" s="216"/>
      <c r="M33" s="211"/>
      <c r="N33" s="211"/>
      <c r="O33" s="211"/>
      <c r="P33" s="211"/>
      <c r="Q33" s="211"/>
      <c r="R33" s="211"/>
      <c r="S33" s="211"/>
      <c r="T33" s="211"/>
      <c r="U33" s="211"/>
      <c r="V33" s="211"/>
      <c r="W33" s="212"/>
      <c r="Y33" s="155" t="s">
        <v>65</v>
      </c>
      <c r="Z33" s="155"/>
      <c r="AA33" s="155"/>
      <c r="AB33" s="155"/>
      <c r="AC33" s="155"/>
      <c r="AD33" s="155"/>
      <c r="AE33" s="155"/>
      <c r="AF33" s="155"/>
      <c r="AG33" s="155"/>
      <c r="AH33" s="155"/>
      <c r="AI33" s="155"/>
      <c r="AJ33" s="155"/>
      <c r="AK33" s="155"/>
      <c r="AL33" s="155"/>
      <c r="AM33" s="155"/>
      <c r="AN33" s="155"/>
      <c r="AO33" s="155"/>
      <c r="AP33" s="155"/>
      <c r="AQ33" s="155"/>
      <c r="AR33" s="155"/>
      <c r="AS33" s="155"/>
      <c r="AT33" s="155"/>
      <c r="AU33" s="155"/>
      <c r="AV33" s="155"/>
      <c r="AW33" s="155"/>
      <c r="AX33" s="155"/>
      <c r="AY33" s="155"/>
      <c r="AZ33" s="155"/>
      <c r="BA33" s="155"/>
      <c r="BB33" s="155"/>
      <c r="BC33" s="155"/>
      <c r="BD33" s="155"/>
      <c r="BE33" s="155"/>
      <c r="BF33" s="155"/>
      <c r="BG33" s="155"/>
      <c r="BH33" s="155"/>
      <c r="BI33" s="155"/>
      <c r="BJ33" s="155"/>
      <c r="BK33" s="155"/>
    </row>
    <row r="34" spans="2:63" ht="14.25" customHeight="1">
      <c r="B34" s="232"/>
      <c r="C34" s="232"/>
      <c r="D34" s="228"/>
      <c r="E34" s="229"/>
      <c r="F34" s="216" t="e">
        <f>IF(#REF!="","","特別割引")</f>
        <v>#REF!</v>
      </c>
      <c r="G34" s="216"/>
      <c r="H34" s="216"/>
      <c r="I34" s="216"/>
      <c r="J34" s="216"/>
      <c r="K34" s="216"/>
      <c r="L34" s="216"/>
      <c r="M34" s="211" t="e">
        <f>IF(#REF!="","",0-#REF!)</f>
        <v>#REF!</v>
      </c>
      <c r="N34" s="211"/>
      <c r="O34" s="211"/>
      <c r="P34" s="211"/>
      <c r="Q34" s="211"/>
      <c r="R34" s="211"/>
      <c r="S34" s="211"/>
      <c r="T34" s="211"/>
      <c r="U34" s="211"/>
      <c r="V34" s="211"/>
      <c r="W34" s="212"/>
      <c r="Y34" s="155" t="s">
        <v>66</v>
      </c>
      <c r="Z34" s="155"/>
      <c r="AA34" s="155"/>
      <c r="AB34" s="155"/>
      <c r="AC34" s="155"/>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row>
    <row r="35" spans="2:63" ht="14.25" customHeight="1">
      <c r="B35" s="232"/>
      <c r="C35" s="232"/>
      <c r="D35" s="230"/>
      <c r="E35" s="231"/>
      <c r="F35" s="233"/>
      <c r="G35" s="233"/>
      <c r="H35" s="233"/>
      <c r="I35" s="233"/>
      <c r="J35" s="233"/>
      <c r="K35" s="233"/>
      <c r="L35" s="233"/>
      <c r="M35" s="213"/>
      <c r="N35" s="213"/>
      <c r="O35" s="213"/>
      <c r="P35" s="213"/>
      <c r="Q35" s="213"/>
      <c r="R35" s="213"/>
      <c r="S35" s="213"/>
      <c r="T35" s="213"/>
      <c r="U35" s="213"/>
      <c r="V35" s="213"/>
      <c r="W35" s="214"/>
    </row>
    <row r="36" spans="2:63" ht="14.25" customHeight="1">
      <c r="Y36" s="152" t="s">
        <v>67</v>
      </c>
      <c r="Z36" s="152"/>
      <c r="AA36" s="152"/>
      <c r="AB36" s="152"/>
      <c r="AC36" s="152"/>
      <c r="AD36" s="152"/>
      <c r="AE36" s="152"/>
      <c r="AF36" s="152"/>
      <c r="AG36" s="152"/>
      <c r="AH36" s="152"/>
      <c r="AI36" s="152"/>
      <c r="AJ36" s="152"/>
      <c r="AK36" s="152"/>
      <c r="AL36" s="152"/>
      <c r="AM36" s="152"/>
      <c r="AN36" s="152"/>
      <c r="AO36" s="152"/>
      <c r="AP36" s="152"/>
      <c r="AQ36" s="152"/>
      <c r="AR36" s="153" t="s">
        <v>110</v>
      </c>
      <c r="AS36" s="153"/>
      <c r="AT36" s="153"/>
      <c r="AU36" s="153"/>
      <c r="AV36" s="153"/>
      <c r="AW36" s="153"/>
      <c r="AX36" s="153"/>
      <c r="AY36" s="153"/>
      <c r="AZ36" s="153"/>
      <c r="BA36" s="153"/>
      <c r="BB36" s="153"/>
      <c r="BC36" s="153"/>
      <c r="BD36" s="153"/>
      <c r="BE36" s="153"/>
      <c r="BF36" s="153"/>
      <c r="BG36" s="153"/>
      <c r="BH36" s="153"/>
      <c r="BI36" s="153"/>
      <c r="BJ36" s="153"/>
      <c r="BK36" s="18"/>
    </row>
    <row r="37" spans="2:63" ht="14.25" customHeight="1">
      <c r="Y37" s="152"/>
      <c r="Z37" s="152"/>
      <c r="AA37" s="152"/>
      <c r="AB37" s="152"/>
      <c r="AC37" s="152"/>
      <c r="AD37" s="152"/>
      <c r="AE37" s="152"/>
      <c r="AF37" s="152"/>
      <c r="AG37" s="152"/>
      <c r="AH37" s="152"/>
      <c r="AI37" s="152"/>
      <c r="AJ37" s="152"/>
      <c r="AK37" s="152"/>
      <c r="AL37" s="152"/>
      <c r="AM37" s="152"/>
      <c r="AN37" s="152"/>
      <c r="AO37" s="152"/>
      <c r="AP37" s="152"/>
      <c r="AQ37" s="152"/>
      <c r="AR37" s="153"/>
      <c r="AS37" s="153"/>
      <c r="AT37" s="153"/>
      <c r="AU37" s="153"/>
      <c r="AV37" s="153"/>
      <c r="AW37" s="153"/>
      <c r="AX37" s="153"/>
      <c r="AY37" s="153"/>
      <c r="AZ37" s="153"/>
      <c r="BA37" s="153"/>
      <c r="BB37" s="153"/>
      <c r="BC37" s="153"/>
      <c r="BD37" s="153"/>
      <c r="BE37" s="153"/>
      <c r="BF37" s="153"/>
      <c r="BG37" s="153"/>
      <c r="BH37" s="153"/>
      <c r="BI37" s="153"/>
      <c r="BJ37" s="153"/>
      <c r="BK37" s="18"/>
    </row>
    <row r="38" spans="2:63" ht="14.25" customHeight="1">
      <c r="H38" s="154" t="s">
        <v>68</v>
      </c>
      <c r="I38" s="154"/>
      <c r="J38" s="154"/>
      <c r="Y38" s="152"/>
      <c r="Z38" s="152"/>
      <c r="AA38" s="152"/>
      <c r="AB38" s="152"/>
      <c r="AC38" s="152"/>
      <c r="AD38" s="152"/>
      <c r="AE38" s="152"/>
      <c r="AF38" s="152"/>
      <c r="AG38" s="152"/>
      <c r="AH38" s="152"/>
      <c r="AI38" s="152"/>
      <c r="AJ38" s="152"/>
      <c r="AK38" s="152"/>
      <c r="AL38" s="152"/>
      <c r="AM38" s="152"/>
      <c r="AN38" s="152"/>
      <c r="AO38" s="152"/>
      <c r="AP38" s="152"/>
      <c r="AQ38" s="152"/>
      <c r="AR38" s="153"/>
      <c r="AS38" s="153"/>
      <c r="AT38" s="153"/>
      <c r="AU38" s="153"/>
      <c r="AV38" s="153"/>
      <c r="AW38" s="153"/>
      <c r="AX38" s="153"/>
      <c r="AY38" s="153"/>
      <c r="AZ38" s="153"/>
      <c r="BA38" s="153"/>
      <c r="BB38" s="153"/>
      <c r="BC38" s="153"/>
      <c r="BD38" s="153"/>
      <c r="BE38" s="153"/>
      <c r="BF38" s="153"/>
      <c r="BG38" s="153"/>
      <c r="BH38" s="153"/>
      <c r="BI38" s="153"/>
      <c r="BJ38" s="153"/>
      <c r="BK38" s="18"/>
    </row>
    <row r="39" spans="2:63" ht="14.25" customHeight="1">
      <c r="Y39" s="152"/>
      <c r="Z39" s="152"/>
      <c r="AA39" s="152"/>
      <c r="AB39" s="152"/>
      <c r="AC39" s="152"/>
      <c r="AD39" s="152"/>
      <c r="AE39" s="152"/>
      <c r="AF39" s="152"/>
      <c r="AG39" s="152"/>
      <c r="AH39" s="152"/>
      <c r="AI39" s="152"/>
      <c r="AJ39" s="152"/>
      <c r="AK39" s="152"/>
      <c r="AL39" s="152"/>
      <c r="AM39" s="152"/>
      <c r="AN39" s="152"/>
      <c r="AO39" s="152"/>
      <c r="AP39" s="152"/>
      <c r="AQ39" s="152"/>
      <c r="AR39" s="153"/>
      <c r="AS39" s="153"/>
      <c r="AT39" s="153"/>
      <c r="AU39" s="153"/>
      <c r="AV39" s="153"/>
      <c r="AW39" s="153"/>
      <c r="AX39" s="153"/>
      <c r="AY39" s="153"/>
      <c r="AZ39" s="153"/>
      <c r="BA39" s="153"/>
      <c r="BB39" s="153"/>
      <c r="BC39" s="153"/>
      <c r="BD39" s="153"/>
      <c r="BE39" s="153"/>
      <c r="BF39" s="153"/>
      <c r="BG39" s="153"/>
      <c r="BH39" s="153"/>
      <c r="BI39" s="153"/>
      <c r="BJ39" s="153"/>
    </row>
  </sheetData>
  <mergeCells count="74">
    <mergeCell ref="B1:U2"/>
    <mergeCell ref="Z2:AC2"/>
    <mergeCell ref="AD2:AF2"/>
    <mergeCell ref="AH2:AJ2"/>
    <mergeCell ref="AL2:AN2"/>
    <mergeCell ref="AO4:AQ4"/>
    <mergeCell ref="AS4:AU4"/>
    <mergeCell ref="AW4:AY4"/>
    <mergeCell ref="B5:C20"/>
    <mergeCell ref="D5:J5"/>
    <mergeCell ref="K5:BE5"/>
    <mergeCell ref="D11:J13"/>
    <mergeCell ref="K11:BK13"/>
    <mergeCell ref="D14:J14"/>
    <mergeCell ref="K14:AG14"/>
    <mergeCell ref="B4:V4"/>
    <mergeCell ref="AK4:AN4"/>
    <mergeCell ref="BF5:BK10"/>
    <mergeCell ref="D6:J7"/>
    <mergeCell ref="K6:BE7"/>
    <mergeCell ref="D8:J8"/>
    <mergeCell ref="K8:BE8"/>
    <mergeCell ref="D9:J10"/>
    <mergeCell ref="K9:BE10"/>
    <mergeCell ref="AH14:AN14"/>
    <mergeCell ref="AO14:BK14"/>
    <mergeCell ref="D15:J16"/>
    <mergeCell ref="K15:AG16"/>
    <mergeCell ref="AH15:AN16"/>
    <mergeCell ref="AO15:BK16"/>
    <mergeCell ref="D17:J18"/>
    <mergeCell ref="K17:AG18"/>
    <mergeCell ref="AH17:AN18"/>
    <mergeCell ref="AO17:BK18"/>
    <mergeCell ref="D19:J20"/>
    <mergeCell ref="K19:AG20"/>
    <mergeCell ref="AH19:AN20"/>
    <mergeCell ref="AO19:BK20"/>
    <mergeCell ref="B22:C35"/>
    <mergeCell ref="D22:J23"/>
    <mergeCell ref="K22:W23"/>
    <mergeCell ref="X22:AD23"/>
    <mergeCell ref="AE22:AQ23"/>
    <mergeCell ref="M32:W33"/>
    <mergeCell ref="Y32:BK32"/>
    <mergeCell ref="Y33:BK33"/>
    <mergeCell ref="F34:L35"/>
    <mergeCell ref="AY22:BK23"/>
    <mergeCell ref="D24:J25"/>
    <mergeCell ref="K24:W25"/>
    <mergeCell ref="X24:AD25"/>
    <mergeCell ref="AE24:BK25"/>
    <mergeCell ref="AR22:AX23"/>
    <mergeCell ref="H38:J38"/>
    <mergeCell ref="AY26:BK27"/>
    <mergeCell ref="D26:J27"/>
    <mergeCell ref="K26:W27"/>
    <mergeCell ref="X26:AD27"/>
    <mergeCell ref="AE26:AQ27"/>
    <mergeCell ref="AR26:AX27"/>
    <mergeCell ref="Y36:AQ39"/>
    <mergeCell ref="AR36:BJ39"/>
    <mergeCell ref="D28:E35"/>
    <mergeCell ref="F28:L29"/>
    <mergeCell ref="M28:W29"/>
    <mergeCell ref="Y29:BK29"/>
    <mergeCell ref="M34:W35"/>
    <mergeCell ref="Y34:BK34"/>
    <mergeCell ref="BI28:BK28"/>
    <mergeCell ref="F30:L31"/>
    <mergeCell ref="M30:W31"/>
    <mergeCell ref="Y30:BK30"/>
    <mergeCell ref="Y31:BK31"/>
    <mergeCell ref="F32:L33"/>
  </mergeCells>
  <phoneticPr fontId="1"/>
  <printOptions horizontalCentered="1" verticalCentered="1"/>
  <pageMargins left="0.23622047244094491" right="0.23622047244094491" top="0.55118110236220474" bottom="0.35433070866141736"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B1:BK39"/>
  <sheetViews>
    <sheetView view="pageBreakPreview" topLeftCell="A13" zoomScale="115" zoomScaleNormal="100" zoomScaleSheetLayoutView="115" workbookViewId="0">
      <selection activeCell="Y36" sqref="Y36:AQ39"/>
    </sheetView>
  </sheetViews>
  <sheetFormatPr baseColWidth="10" defaultColWidth="9" defaultRowHeight="16"/>
  <cols>
    <col min="1" max="69" width="2.1640625" style="17" customWidth="1"/>
    <col min="70" max="16384" width="9" style="17"/>
  </cols>
  <sheetData>
    <row r="1" spans="2:63">
      <c r="B1" s="239" t="s">
        <v>22</v>
      </c>
      <c r="C1" s="239"/>
      <c r="D1" s="239"/>
      <c r="E1" s="239"/>
      <c r="F1" s="239"/>
      <c r="G1" s="239"/>
      <c r="H1" s="239"/>
      <c r="I1" s="239"/>
      <c r="J1" s="239"/>
      <c r="K1" s="239"/>
      <c r="L1" s="239"/>
      <c r="M1" s="239"/>
      <c r="N1" s="239"/>
      <c r="O1" s="239"/>
      <c r="P1" s="239"/>
      <c r="Q1" s="239"/>
      <c r="R1" s="239"/>
      <c r="S1" s="239"/>
      <c r="T1" s="239"/>
      <c r="U1" s="239"/>
    </row>
    <row r="2" spans="2:63">
      <c r="B2" s="239"/>
      <c r="C2" s="239"/>
      <c r="D2" s="239"/>
      <c r="E2" s="239"/>
      <c r="F2" s="239"/>
      <c r="G2" s="239"/>
      <c r="H2" s="239"/>
      <c r="I2" s="239"/>
      <c r="J2" s="239"/>
      <c r="K2" s="239"/>
      <c r="L2" s="239"/>
      <c r="M2" s="239"/>
      <c r="N2" s="239"/>
      <c r="O2" s="239"/>
      <c r="P2" s="239"/>
      <c r="Q2" s="239"/>
      <c r="R2" s="239"/>
      <c r="S2" s="239"/>
      <c r="T2" s="239"/>
      <c r="U2" s="239"/>
      <c r="Z2" s="193"/>
      <c r="AA2" s="193"/>
      <c r="AB2" s="193"/>
      <c r="AC2" s="193"/>
      <c r="AD2" s="193"/>
      <c r="AE2" s="193"/>
      <c r="AF2" s="193"/>
      <c r="AH2" s="193"/>
      <c r="AI2" s="193"/>
      <c r="AJ2" s="193"/>
      <c r="AL2" s="193"/>
      <c r="AM2" s="193"/>
      <c r="AN2" s="193"/>
    </row>
    <row r="4" spans="2:63">
      <c r="B4" s="200" t="s">
        <v>23</v>
      </c>
      <c r="C4" s="200"/>
      <c r="D4" s="200"/>
      <c r="E4" s="200"/>
      <c r="F4" s="200"/>
      <c r="G4" s="200"/>
      <c r="H4" s="200"/>
      <c r="I4" s="200"/>
      <c r="J4" s="200"/>
      <c r="K4" s="200"/>
      <c r="L4" s="200"/>
      <c r="M4" s="200"/>
      <c r="N4" s="200"/>
      <c r="O4" s="200"/>
      <c r="P4" s="200"/>
      <c r="Q4" s="200"/>
      <c r="R4" s="200"/>
      <c r="S4" s="200"/>
      <c r="T4" s="200"/>
      <c r="U4" s="200"/>
      <c r="V4" s="200"/>
      <c r="AK4" s="193" t="s">
        <v>24</v>
      </c>
      <c r="AL4" s="193"/>
      <c r="AM4" s="193"/>
      <c r="AN4" s="193"/>
      <c r="AO4" s="193"/>
      <c r="AP4" s="193"/>
      <c r="AQ4" s="193"/>
      <c r="AR4" s="17" t="s">
        <v>25</v>
      </c>
      <c r="AS4" s="193"/>
      <c r="AT4" s="193"/>
      <c r="AU4" s="193"/>
      <c r="AV4" s="17" t="s">
        <v>26</v>
      </c>
      <c r="AW4" s="193"/>
      <c r="AX4" s="193"/>
      <c r="AY4" s="193"/>
      <c r="AZ4" s="17" t="s">
        <v>27</v>
      </c>
    </row>
    <row r="5" spans="2:63" ht="14.25" customHeight="1">
      <c r="B5" s="232" t="s">
        <v>28</v>
      </c>
      <c r="C5" s="232"/>
      <c r="D5" s="237" t="s">
        <v>29</v>
      </c>
      <c r="E5" s="237"/>
      <c r="F5" s="237"/>
      <c r="G5" s="237"/>
      <c r="H5" s="237"/>
      <c r="I5" s="237"/>
      <c r="J5" s="238"/>
      <c r="K5" s="195"/>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7"/>
      <c r="BF5" s="201" t="s">
        <v>30</v>
      </c>
      <c r="BG5" s="201"/>
      <c r="BH5" s="201"/>
      <c r="BI5" s="201"/>
      <c r="BJ5" s="201"/>
      <c r="BK5" s="201"/>
    </row>
    <row r="6" spans="2:63" ht="14.25" customHeight="1">
      <c r="B6" s="232"/>
      <c r="C6" s="232"/>
      <c r="D6" s="225" t="s">
        <v>31</v>
      </c>
      <c r="E6" s="216"/>
      <c r="F6" s="216"/>
      <c r="G6" s="216"/>
      <c r="H6" s="216"/>
      <c r="I6" s="216"/>
      <c r="J6" s="216"/>
      <c r="K6" s="204"/>
      <c r="L6" s="205"/>
      <c r="M6" s="205"/>
      <c r="N6" s="205"/>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6"/>
      <c r="BF6" s="201"/>
      <c r="BG6" s="201"/>
      <c r="BH6" s="201"/>
      <c r="BI6" s="201"/>
      <c r="BJ6" s="201"/>
      <c r="BK6" s="201"/>
    </row>
    <row r="7" spans="2:63" ht="14.25" customHeight="1">
      <c r="B7" s="232"/>
      <c r="C7" s="232"/>
      <c r="D7" s="236"/>
      <c r="E7" s="233"/>
      <c r="F7" s="233"/>
      <c r="G7" s="233"/>
      <c r="H7" s="233"/>
      <c r="I7" s="233"/>
      <c r="J7" s="233"/>
      <c r="K7" s="207"/>
      <c r="L7" s="208"/>
      <c r="M7" s="208"/>
      <c r="N7" s="208"/>
      <c r="O7" s="208"/>
      <c r="P7" s="208"/>
      <c r="Q7" s="208"/>
      <c r="R7" s="208"/>
      <c r="S7" s="208"/>
      <c r="T7" s="208"/>
      <c r="U7" s="208"/>
      <c r="V7" s="208"/>
      <c r="W7" s="208"/>
      <c r="X7" s="208"/>
      <c r="Y7" s="208"/>
      <c r="Z7" s="208"/>
      <c r="AA7" s="208"/>
      <c r="AB7" s="208"/>
      <c r="AC7" s="208"/>
      <c r="AD7" s="208"/>
      <c r="AE7" s="208"/>
      <c r="AF7" s="208"/>
      <c r="AG7" s="208"/>
      <c r="AH7" s="208"/>
      <c r="AI7" s="208"/>
      <c r="AJ7" s="208"/>
      <c r="AK7" s="208"/>
      <c r="AL7" s="208"/>
      <c r="AM7" s="208"/>
      <c r="AN7" s="208"/>
      <c r="AO7" s="208"/>
      <c r="AP7" s="208"/>
      <c r="AQ7" s="208"/>
      <c r="AR7" s="208"/>
      <c r="AS7" s="208"/>
      <c r="AT7" s="208"/>
      <c r="AU7" s="208"/>
      <c r="AV7" s="208"/>
      <c r="AW7" s="208"/>
      <c r="AX7" s="208"/>
      <c r="AY7" s="208"/>
      <c r="AZ7" s="208"/>
      <c r="BA7" s="208"/>
      <c r="BB7" s="208"/>
      <c r="BC7" s="208"/>
      <c r="BD7" s="208"/>
      <c r="BE7" s="209"/>
      <c r="BF7" s="201"/>
      <c r="BG7" s="201"/>
      <c r="BH7" s="201"/>
      <c r="BI7" s="201"/>
      <c r="BJ7" s="201"/>
      <c r="BK7" s="201"/>
    </row>
    <row r="8" spans="2:63" ht="14.25" customHeight="1">
      <c r="B8" s="232"/>
      <c r="C8" s="232"/>
      <c r="D8" s="237" t="s">
        <v>32</v>
      </c>
      <c r="E8" s="237"/>
      <c r="F8" s="237"/>
      <c r="G8" s="237"/>
      <c r="H8" s="237"/>
      <c r="I8" s="237"/>
      <c r="J8" s="238"/>
      <c r="K8" s="189"/>
      <c r="L8" s="190"/>
      <c r="M8" s="190"/>
      <c r="N8" s="190"/>
      <c r="O8" s="190"/>
      <c r="P8" s="190"/>
      <c r="Q8" s="190"/>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201"/>
      <c r="BG8" s="201"/>
      <c r="BH8" s="201"/>
      <c r="BI8" s="201"/>
      <c r="BJ8" s="201"/>
      <c r="BK8" s="201"/>
    </row>
    <row r="9" spans="2:63" ht="14.25" customHeight="1">
      <c r="B9" s="232"/>
      <c r="C9" s="232"/>
      <c r="D9" s="234" t="s">
        <v>33</v>
      </c>
      <c r="E9" s="234"/>
      <c r="F9" s="234"/>
      <c r="G9" s="234"/>
      <c r="H9" s="234"/>
      <c r="I9" s="234"/>
      <c r="J9" s="225"/>
      <c r="K9" s="185"/>
      <c r="L9" s="186"/>
      <c r="M9" s="186"/>
      <c r="N9" s="186"/>
      <c r="O9" s="186"/>
      <c r="P9" s="186"/>
      <c r="Q9" s="186"/>
      <c r="R9" s="186"/>
      <c r="S9" s="186"/>
      <c r="T9" s="186"/>
      <c r="U9" s="186"/>
      <c r="V9" s="186"/>
      <c r="W9" s="186"/>
      <c r="X9" s="186"/>
      <c r="Y9" s="186"/>
      <c r="Z9" s="186"/>
      <c r="AA9" s="186"/>
      <c r="AB9" s="186"/>
      <c r="AC9" s="186"/>
      <c r="AD9" s="186"/>
      <c r="AE9" s="186"/>
      <c r="AF9" s="186"/>
      <c r="AG9" s="186"/>
      <c r="AH9" s="186"/>
      <c r="AI9" s="186"/>
      <c r="AJ9" s="186"/>
      <c r="AK9" s="186"/>
      <c r="AL9" s="186"/>
      <c r="AM9" s="186"/>
      <c r="AN9" s="186"/>
      <c r="AO9" s="186"/>
      <c r="AP9" s="186"/>
      <c r="AQ9" s="186"/>
      <c r="AR9" s="186"/>
      <c r="AS9" s="186"/>
      <c r="AT9" s="186"/>
      <c r="AU9" s="186"/>
      <c r="AV9" s="186"/>
      <c r="AW9" s="186"/>
      <c r="AX9" s="186"/>
      <c r="AY9" s="186"/>
      <c r="AZ9" s="186"/>
      <c r="BA9" s="186"/>
      <c r="BB9" s="186"/>
      <c r="BC9" s="186"/>
      <c r="BD9" s="186"/>
      <c r="BE9" s="186"/>
      <c r="BF9" s="201"/>
      <c r="BG9" s="201"/>
      <c r="BH9" s="201"/>
      <c r="BI9" s="201"/>
      <c r="BJ9" s="201"/>
      <c r="BK9" s="201"/>
    </row>
    <row r="10" spans="2:63" ht="14.25" customHeight="1">
      <c r="B10" s="232"/>
      <c r="C10" s="232"/>
      <c r="D10" s="235"/>
      <c r="E10" s="235"/>
      <c r="F10" s="235"/>
      <c r="G10" s="235"/>
      <c r="H10" s="235"/>
      <c r="I10" s="235"/>
      <c r="J10" s="236"/>
      <c r="K10" s="187"/>
      <c r="L10" s="188"/>
      <c r="M10" s="188"/>
      <c r="N10" s="188"/>
      <c r="O10" s="188"/>
      <c r="P10" s="188"/>
      <c r="Q10" s="188"/>
      <c r="R10" s="188"/>
      <c r="S10" s="188"/>
      <c r="T10" s="188"/>
      <c r="U10" s="188"/>
      <c r="V10" s="188"/>
      <c r="W10" s="188"/>
      <c r="X10" s="188"/>
      <c r="Y10" s="188"/>
      <c r="Z10" s="188"/>
      <c r="AA10" s="188"/>
      <c r="AB10" s="188"/>
      <c r="AC10" s="188"/>
      <c r="AD10" s="188"/>
      <c r="AE10" s="188"/>
      <c r="AF10" s="188"/>
      <c r="AG10" s="188"/>
      <c r="AH10" s="188"/>
      <c r="AI10" s="188"/>
      <c r="AJ10" s="188"/>
      <c r="AK10" s="188"/>
      <c r="AL10" s="188"/>
      <c r="AM10" s="188"/>
      <c r="AN10" s="188"/>
      <c r="AO10" s="188"/>
      <c r="AP10" s="188"/>
      <c r="AQ10" s="188"/>
      <c r="AR10" s="188"/>
      <c r="AS10" s="188"/>
      <c r="AT10" s="188"/>
      <c r="AU10" s="188"/>
      <c r="AV10" s="188"/>
      <c r="AW10" s="188"/>
      <c r="AX10" s="188"/>
      <c r="AY10" s="188"/>
      <c r="AZ10" s="188"/>
      <c r="BA10" s="188"/>
      <c r="BB10" s="188"/>
      <c r="BC10" s="188"/>
      <c r="BD10" s="188"/>
      <c r="BE10" s="188"/>
      <c r="BF10" s="201"/>
      <c r="BG10" s="201"/>
      <c r="BH10" s="201"/>
      <c r="BI10" s="201"/>
      <c r="BJ10" s="201"/>
      <c r="BK10" s="201"/>
    </row>
    <row r="11" spans="2:63" ht="14.25" customHeight="1">
      <c r="B11" s="232"/>
      <c r="C11" s="232"/>
      <c r="D11" s="217" t="s">
        <v>34</v>
      </c>
      <c r="E11" s="217"/>
      <c r="F11" s="217"/>
      <c r="G11" s="217"/>
      <c r="H11" s="217"/>
      <c r="I11" s="217"/>
      <c r="J11" s="219"/>
      <c r="K11" s="198" t="s">
        <v>35</v>
      </c>
      <c r="L11" s="199"/>
      <c r="M11" s="199"/>
      <c r="N11" s="199"/>
      <c r="O11" s="199"/>
      <c r="P11" s="199"/>
      <c r="Q11" s="199"/>
      <c r="R11" s="199"/>
      <c r="S11" s="199"/>
      <c r="T11" s="199"/>
      <c r="U11" s="199"/>
      <c r="V11" s="199"/>
      <c r="W11" s="199"/>
      <c r="X11" s="199"/>
      <c r="Y11" s="199"/>
      <c r="Z11" s="199"/>
      <c r="AA11" s="199"/>
      <c r="AB11" s="199"/>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199"/>
      <c r="BF11" s="199"/>
      <c r="BG11" s="199"/>
      <c r="BH11" s="199"/>
      <c r="BI11" s="199"/>
      <c r="BJ11" s="199"/>
      <c r="BK11" s="199"/>
    </row>
    <row r="12" spans="2:63" ht="14.25" customHeight="1">
      <c r="B12" s="232"/>
      <c r="C12" s="232"/>
      <c r="D12" s="217"/>
      <c r="E12" s="217"/>
      <c r="F12" s="217"/>
      <c r="G12" s="217"/>
      <c r="H12" s="217"/>
      <c r="I12" s="217"/>
      <c r="J12" s="219"/>
      <c r="K12" s="198"/>
      <c r="L12" s="199"/>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199"/>
      <c r="BF12" s="199"/>
      <c r="BG12" s="199"/>
      <c r="BH12" s="199"/>
      <c r="BI12" s="199"/>
      <c r="BJ12" s="199"/>
      <c r="BK12" s="199"/>
    </row>
    <row r="13" spans="2:63" ht="14.25" customHeight="1">
      <c r="B13" s="232"/>
      <c r="C13" s="232"/>
      <c r="D13" s="217"/>
      <c r="E13" s="217"/>
      <c r="F13" s="217"/>
      <c r="G13" s="217"/>
      <c r="H13" s="217"/>
      <c r="I13" s="217"/>
      <c r="J13" s="219"/>
      <c r="K13" s="198"/>
      <c r="L13" s="199"/>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c r="BE13" s="199"/>
      <c r="BF13" s="199"/>
      <c r="BG13" s="199"/>
      <c r="BH13" s="199"/>
      <c r="BI13" s="199"/>
      <c r="BJ13" s="199"/>
      <c r="BK13" s="199"/>
    </row>
    <row r="14" spans="2:63" ht="14.25" customHeight="1">
      <c r="B14" s="232"/>
      <c r="C14" s="232"/>
      <c r="D14" s="237" t="s">
        <v>32</v>
      </c>
      <c r="E14" s="237"/>
      <c r="F14" s="237"/>
      <c r="G14" s="237"/>
      <c r="H14" s="237"/>
      <c r="I14" s="237"/>
      <c r="J14" s="238"/>
      <c r="K14" s="189"/>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237" t="s">
        <v>32</v>
      </c>
      <c r="AI14" s="237"/>
      <c r="AJ14" s="237"/>
      <c r="AK14" s="237"/>
      <c r="AL14" s="237"/>
      <c r="AM14" s="237"/>
      <c r="AN14" s="238"/>
      <c r="AO14" s="189"/>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row>
    <row r="15" spans="2:63" ht="14.25" customHeight="1">
      <c r="B15" s="232"/>
      <c r="C15" s="232"/>
      <c r="D15" s="234" t="s">
        <v>36</v>
      </c>
      <c r="E15" s="234"/>
      <c r="F15" s="234"/>
      <c r="G15" s="234"/>
      <c r="H15" s="234"/>
      <c r="I15" s="234"/>
      <c r="J15" s="225"/>
      <c r="K15" s="185"/>
      <c r="L15" s="186"/>
      <c r="M15" s="186"/>
      <c r="N15" s="186"/>
      <c r="O15" s="186"/>
      <c r="P15" s="186"/>
      <c r="Q15" s="186"/>
      <c r="R15" s="186"/>
      <c r="S15" s="186"/>
      <c r="T15" s="186"/>
      <c r="U15" s="186"/>
      <c r="V15" s="186"/>
      <c r="W15" s="186"/>
      <c r="X15" s="186"/>
      <c r="Y15" s="186"/>
      <c r="Z15" s="186"/>
      <c r="AA15" s="186"/>
      <c r="AB15" s="186"/>
      <c r="AC15" s="186"/>
      <c r="AD15" s="186"/>
      <c r="AE15" s="186"/>
      <c r="AF15" s="186"/>
      <c r="AG15" s="186"/>
      <c r="AH15" s="234" t="s">
        <v>37</v>
      </c>
      <c r="AI15" s="234"/>
      <c r="AJ15" s="234"/>
      <c r="AK15" s="234"/>
      <c r="AL15" s="234"/>
      <c r="AM15" s="234"/>
      <c r="AN15" s="225"/>
      <c r="AO15" s="185"/>
      <c r="AP15" s="186"/>
      <c r="AQ15" s="186"/>
      <c r="AR15" s="186"/>
      <c r="AS15" s="186"/>
      <c r="AT15" s="186"/>
      <c r="AU15" s="186"/>
      <c r="AV15" s="186"/>
      <c r="AW15" s="186"/>
      <c r="AX15" s="186"/>
      <c r="AY15" s="186"/>
      <c r="AZ15" s="186"/>
      <c r="BA15" s="186"/>
      <c r="BB15" s="186"/>
      <c r="BC15" s="186"/>
      <c r="BD15" s="186"/>
      <c r="BE15" s="186"/>
      <c r="BF15" s="186"/>
      <c r="BG15" s="186"/>
      <c r="BH15" s="186"/>
      <c r="BI15" s="186"/>
      <c r="BJ15" s="186"/>
      <c r="BK15" s="186"/>
    </row>
    <row r="16" spans="2:63" ht="14.25" customHeight="1">
      <c r="B16" s="232"/>
      <c r="C16" s="232"/>
      <c r="D16" s="235"/>
      <c r="E16" s="235"/>
      <c r="F16" s="235"/>
      <c r="G16" s="235"/>
      <c r="H16" s="235"/>
      <c r="I16" s="235"/>
      <c r="J16" s="236"/>
      <c r="K16" s="187"/>
      <c r="L16" s="188"/>
      <c r="M16" s="188"/>
      <c r="N16" s="188"/>
      <c r="O16" s="188"/>
      <c r="P16" s="188"/>
      <c r="Q16" s="188"/>
      <c r="R16" s="188"/>
      <c r="S16" s="188"/>
      <c r="T16" s="188"/>
      <c r="U16" s="188"/>
      <c r="V16" s="188"/>
      <c r="W16" s="188"/>
      <c r="X16" s="188"/>
      <c r="Y16" s="188"/>
      <c r="Z16" s="188"/>
      <c r="AA16" s="188"/>
      <c r="AB16" s="188"/>
      <c r="AC16" s="188"/>
      <c r="AD16" s="188"/>
      <c r="AE16" s="188"/>
      <c r="AF16" s="188"/>
      <c r="AG16" s="188"/>
      <c r="AH16" s="235"/>
      <c r="AI16" s="235"/>
      <c r="AJ16" s="235"/>
      <c r="AK16" s="235"/>
      <c r="AL16" s="235"/>
      <c r="AM16" s="235"/>
      <c r="AN16" s="236"/>
      <c r="AO16" s="187"/>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row>
    <row r="17" spans="2:63" ht="14.25" customHeight="1">
      <c r="B17" s="232"/>
      <c r="C17" s="232"/>
      <c r="D17" s="217" t="s">
        <v>9</v>
      </c>
      <c r="E17" s="217"/>
      <c r="F17" s="217"/>
      <c r="G17" s="217"/>
      <c r="H17" s="217"/>
      <c r="I17" s="217"/>
      <c r="J17" s="219"/>
      <c r="K17" s="179" t="s">
        <v>38</v>
      </c>
      <c r="L17" s="163"/>
      <c r="M17" s="163"/>
      <c r="N17" s="163"/>
      <c r="O17" s="163"/>
      <c r="P17" s="163"/>
      <c r="Q17" s="163"/>
      <c r="R17" s="163"/>
      <c r="S17" s="163"/>
      <c r="T17" s="163"/>
      <c r="U17" s="163"/>
      <c r="V17" s="163"/>
      <c r="W17" s="163"/>
      <c r="X17" s="163"/>
      <c r="Y17" s="163"/>
      <c r="Z17" s="163"/>
      <c r="AA17" s="163"/>
      <c r="AB17" s="163"/>
      <c r="AC17" s="163"/>
      <c r="AD17" s="163"/>
      <c r="AE17" s="163"/>
      <c r="AF17" s="163"/>
      <c r="AG17" s="163"/>
      <c r="AH17" s="217" t="s">
        <v>10</v>
      </c>
      <c r="AI17" s="217"/>
      <c r="AJ17" s="217"/>
      <c r="AK17" s="217"/>
      <c r="AL17" s="217"/>
      <c r="AM17" s="217"/>
      <c r="AN17" s="219"/>
      <c r="AO17" s="179" t="s">
        <v>39</v>
      </c>
      <c r="AP17" s="163"/>
      <c r="AQ17" s="163"/>
      <c r="AR17" s="163"/>
      <c r="AS17" s="163"/>
      <c r="AT17" s="163"/>
      <c r="AU17" s="163"/>
      <c r="AV17" s="163"/>
      <c r="AW17" s="163"/>
      <c r="AX17" s="163"/>
      <c r="AY17" s="163"/>
      <c r="AZ17" s="163"/>
      <c r="BA17" s="163"/>
      <c r="BB17" s="163"/>
      <c r="BC17" s="163"/>
      <c r="BD17" s="163"/>
      <c r="BE17" s="163"/>
      <c r="BF17" s="163"/>
      <c r="BG17" s="163"/>
      <c r="BH17" s="163"/>
      <c r="BI17" s="163"/>
      <c r="BJ17" s="163"/>
      <c r="BK17" s="163"/>
    </row>
    <row r="18" spans="2:63" ht="14.25" customHeight="1">
      <c r="B18" s="232"/>
      <c r="C18" s="232"/>
      <c r="D18" s="217"/>
      <c r="E18" s="217"/>
      <c r="F18" s="217"/>
      <c r="G18" s="217"/>
      <c r="H18" s="217"/>
      <c r="I18" s="217"/>
      <c r="J18" s="219"/>
      <c r="K18" s="180"/>
      <c r="L18" s="163"/>
      <c r="M18" s="163"/>
      <c r="N18" s="163"/>
      <c r="O18" s="163"/>
      <c r="P18" s="163"/>
      <c r="Q18" s="163"/>
      <c r="R18" s="163"/>
      <c r="S18" s="163"/>
      <c r="T18" s="163"/>
      <c r="U18" s="163"/>
      <c r="V18" s="163"/>
      <c r="W18" s="163"/>
      <c r="X18" s="163"/>
      <c r="Y18" s="163"/>
      <c r="Z18" s="163"/>
      <c r="AA18" s="163"/>
      <c r="AB18" s="163"/>
      <c r="AC18" s="163"/>
      <c r="AD18" s="163"/>
      <c r="AE18" s="163"/>
      <c r="AF18" s="163"/>
      <c r="AG18" s="163"/>
      <c r="AH18" s="217"/>
      <c r="AI18" s="217"/>
      <c r="AJ18" s="217"/>
      <c r="AK18" s="217"/>
      <c r="AL18" s="217"/>
      <c r="AM18" s="217"/>
      <c r="AN18" s="219"/>
      <c r="AO18" s="180"/>
      <c r="AP18" s="163"/>
      <c r="AQ18" s="163"/>
      <c r="AR18" s="163"/>
      <c r="AS18" s="163"/>
      <c r="AT18" s="163"/>
      <c r="AU18" s="163"/>
      <c r="AV18" s="163"/>
      <c r="AW18" s="163"/>
      <c r="AX18" s="163"/>
      <c r="AY18" s="163"/>
      <c r="AZ18" s="163"/>
      <c r="BA18" s="163"/>
      <c r="BB18" s="163"/>
      <c r="BC18" s="163"/>
      <c r="BD18" s="163"/>
      <c r="BE18" s="163"/>
      <c r="BF18" s="163"/>
      <c r="BG18" s="163"/>
      <c r="BH18" s="163"/>
      <c r="BI18" s="163"/>
      <c r="BJ18" s="163"/>
      <c r="BK18" s="163"/>
    </row>
    <row r="19" spans="2:63" ht="14.25" customHeight="1">
      <c r="B19" s="232"/>
      <c r="C19" s="232"/>
      <c r="D19" s="217" t="s">
        <v>40</v>
      </c>
      <c r="E19" s="217"/>
      <c r="F19" s="217"/>
      <c r="G19" s="217"/>
      <c r="H19" s="217"/>
      <c r="I19" s="217"/>
      <c r="J19" s="219"/>
      <c r="K19" s="180" t="s">
        <v>41</v>
      </c>
      <c r="L19" s="163"/>
      <c r="M19" s="163"/>
      <c r="N19" s="163"/>
      <c r="O19" s="163"/>
      <c r="P19" s="163"/>
      <c r="Q19" s="163"/>
      <c r="R19" s="163"/>
      <c r="S19" s="163"/>
      <c r="T19" s="163"/>
      <c r="U19" s="163"/>
      <c r="V19" s="163"/>
      <c r="W19" s="163"/>
      <c r="X19" s="163"/>
      <c r="Y19" s="163"/>
      <c r="Z19" s="163"/>
      <c r="AA19" s="163"/>
      <c r="AB19" s="163"/>
      <c r="AC19" s="163"/>
      <c r="AD19" s="163"/>
      <c r="AE19" s="163"/>
      <c r="AF19" s="163"/>
      <c r="AG19" s="163"/>
      <c r="AH19" s="217" t="s">
        <v>42</v>
      </c>
      <c r="AI19" s="217"/>
      <c r="AJ19" s="217"/>
      <c r="AK19" s="217"/>
      <c r="AL19" s="217"/>
      <c r="AM19" s="217"/>
      <c r="AN19" s="219"/>
      <c r="AO19" s="180"/>
      <c r="AP19" s="163"/>
      <c r="AQ19" s="163"/>
      <c r="AR19" s="163"/>
      <c r="AS19" s="163"/>
      <c r="AT19" s="163"/>
      <c r="AU19" s="163"/>
      <c r="AV19" s="163"/>
      <c r="AW19" s="163"/>
      <c r="AX19" s="163"/>
      <c r="AY19" s="163"/>
      <c r="AZ19" s="163"/>
      <c r="BA19" s="163"/>
      <c r="BB19" s="163"/>
      <c r="BC19" s="163"/>
      <c r="BD19" s="163"/>
      <c r="BE19" s="163"/>
      <c r="BF19" s="163"/>
      <c r="BG19" s="163"/>
      <c r="BH19" s="163"/>
      <c r="BI19" s="163"/>
      <c r="BJ19" s="163"/>
      <c r="BK19" s="163"/>
    </row>
    <row r="20" spans="2:63" ht="14.25" customHeight="1">
      <c r="B20" s="232"/>
      <c r="C20" s="232"/>
      <c r="D20" s="217"/>
      <c r="E20" s="217"/>
      <c r="F20" s="217"/>
      <c r="G20" s="217"/>
      <c r="H20" s="217"/>
      <c r="I20" s="217"/>
      <c r="J20" s="219"/>
      <c r="K20" s="180"/>
      <c r="L20" s="163"/>
      <c r="M20" s="163"/>
      <c r="N20" s="163"/>
      <c r="O20" s="163"/>
      <c r="P20" s="163"/>
      <c r="Q20" s="163"/>
      <c r="R20" s="163"/>
      <c r="S20" s="163"/>
      <c r="T20" s="163"/>
      <c r="U20" s="163"/>
      <c r="V20" s="163"/>
      <c r="W20" s="163"/>
      <c r="X20" s="163"/>
      <c r="Y20" s="163"/>
      <c r="Z20" s="163"/>
      <c r="AA20" s="163"/>
      <c r="AB20" s="163"/>
      <c r="AC20" s="163"/>
      <c r="AD20" s="163"/>
      <c r="AE20" s="163"/>
      <c r="AF20" s="163"/>
      <c r="AG20" s="163"/>
      <c r="AH20" s="217"/>
      <c r="AI20" s="217"/>
      <c r="AJ20" s="217"/>
      <c r="AK20" s="217"/>
      <c r="AL20" s="217"/>
      <c r="AM20" s="217"/>
      <c r="AN20" s="219"/>
      <c r="AO20" s="180"/>
      <c r="AP20" s="163"/>
      <c r="AQ20" s="163"/>
      <c r="AR20" s="163"/>
      <c r="AS20" s="163"/>
      <c r="AT20" s="163"/>
      <c r="AU20" s="163"/>
      <c r="AV20" s="163"/>
      <c r="AW20" s="163"/>
      <c r="AX20" s="163"/>
      <c r="AY20" s="163"/>
      <c r="AZ20" s="163"/>
      <c r="BA20" s="163"/>
      <c r="BB20" s="163"/>
      <c r="BC20" s="163"/>
      <c r="BD20" s="163"/>
      <c r="BE20" s="163"/>
      <c r="BF20" s="163"/>
      <c r="BG20" s="163"/>
      <c r="BH20" s="163"/>
      <c r="BI20" s="163"/>
      <c r="BJ20" s="163"/>
      <c r="BK20" s="163"/>
    </row>
    <row r="21" spans="2:63" ht="14.25" customHeight="1"/>
    <row r="22" spans="2:63" ht="14.25" customHeight="1">
      <c r="B22" s="232" t="s">
        <v>43</v>
      </c>
      <c r="C22" s="232"/>
      <c r="D22" s="217" t="s">
        <v>44</v>
      </c>
      <c r="E22" s="217"/>
      <c r="F22" s="217"/>
      <c r="G22" s="217"/>
      <c r="H22" s="217"/>
      <c r="I22" s="217"/>
      <c r="J22" s="219"/>
      <c r="K22" s="180" t="s">
        <v>45</v>
      </c>
      <c r="L22" s="163"/>
      <c r="M22" s="163"/>
      <c r="N22" s="163"/>
      <c r="O22" s="163"/>
      <c r="P22" s="163"/>
      <c r="Q22" s="163"/>
      <c r="R22" s="163"/>
      <c r="S22" s="163"/>
      <c r="T22" s="163"/>
      <c r="U22" s="163"/>
      <c r="V22" s="163"/>
      <c r="W22" s="163"/>
      <c r="X22" s="217" t="s">
        <v>46</v>
      </c>
      <c r="Y22" s="217"/>
      <c r="Z22" s="217"/>
      <c r="AA22" s="217"/>
      <c r="AB22" s="217"/>
      <c r="AC22" s="217"/>
      <c r="AD22" s="218"/>
      <c r="AE22" s="157" t="e">
        <f>IF(#REF!="","",HLOOKUP(#REF!,#REF!,8,FALSE))</f>
        <v>#REF!</v>
      </c>
      <c r="AF22" s="163"/>
      <c r="AG22" s="163"/>
      <c r="AH22" s="163"/>
      <c r="AI22" s="163"/>
      <c r="AJ22" s="163"/>
      <c r="AK22" s="163"/>
      <c r="AL22" s="163"/>
      <c r="AM22" s="163"/>
      <c r="AN22" s="163"/>
      <c r="AO22" s="163"/>
      <c r="AP22" s="163"/>
      <c r="AQ22" s="163"/>
      <c r="AR22" s="219" t="s">
        <v>48</v>
      </c>
      <c r="AS22" s="220"/>
      <c r="AT22" s="220"/>
      <c r="AU22" s="220"/>
      <c r="AV22" s="220"/>
      <c r="AW22" s="220"/>
      <c r="AX22" s="220"/>
      <c r="AY22" s="156" t="s">
        <v>49</v>
      </c>
      <c r="AZ22" s="156"/>
      <c r="BA22" s="156"/>
      <c r="BB22" s="156"/>
      <c r="BC22" s="156"/>
      <c r="BD22" s="156"/>
      <c r="BE22" s="156"/>
      <c r="BF22" s="156"/>
      <c r="BG22" s="156"/>
      <c r="BH22" s="156"/>
      <c r="BI22" s="156"/>
      <c r="BJ22" s="156"/>
      <c r="BK22" s="157"/>
    </row>
    <row r="23" spans="2:63" ht="14.25" customHeight="1">
      <c r="B23" s="232"/>
      <c r="C23" s="232"/>
      <c r="D23" s="217"/>
      <c r="E23" s="217"/>
      <c r="F23" s="217"/>
      <c r="G23" s="217"/>
      <c r="H23" s="217"/>
      <c r="I23" s="217"/>
      <c r="J23" s="219"/>
      <c r="K23" s="180"/>
      <c r="L23" s="163"/>
      <c r="M23" s="163"/>
      <c r="N23" s="163"/>
      <c r="O23" s="163"/>
      <c r="P23" s="163"/>
      <c r="Q23" s="163"/>
      <c r="R23" s="163"/>
      <c r="S23" s="163"/>
      <c r="T23" s="163"/>
      <c r="U23" s="163"/>
      <c r="V23" s="163"/>
      <c r="W23" s="163"/>
      <c r="X23" s="217"/>
      <c r="Y23" s="217"/>
      <c r="Z23" s="217"/>
      <c r="AA23" s="217"/>
      <c r="AB23" s="217"/>
      <c r="AC23" s="217"/>
      <c r="AD23" s="218"/>
      <c r="AE23" s="157"/>
      <c r="AF23" s="163"/>
      <c r="AG23" s="163"/>
      <c r="AH23" s="163"/>
      <c r="AI23" s="163"/>
      <c r="AJ23" s="163"/>
      <c r="AK23" s="163"/>
      <c r="AL23" s="163"/>
      <c r="AM23" s="163"/>
      <c r="AN23" s="163"/>
      <c r="AO23" s="163"/>
      <c r="AP23" s="163"/>
      <c r="AQ23" s="163"/>
      <c r="AR23" s="219"/>
      <c r="AS23" s="220"/>
      <c r="AT23" s="220"/>
      <c r="AU23" s="220"/>
      <c r="AV23" s="220"/>
      <c r="AW23" s="220"/>
      <c r="AX23" s="220"/>
      <c r="AY23" s="156"/>
      <c r="AZ23" s="156"/>
      <c r="BA23" s="156"/>
      <c r="BB23" s="156"/>
      <c r="BC23" s="156"/>
      <c r="BD23" s="156"/>
      <c r="BE23" s="156"/>
      <c r="BF23" s="156"/>
      <c r="BG23" s="156"/>
      <c r="BH23" s="156"/>
      <c r="BI23" s="156"/>
      <c r="BJ23" s="156"/>
      <c r="BK23" s="157"/>
    </row>
    <row r="24" spans="2:63" ht="14.25" customHeight="1">
      <c r="B24" s="232"/>
      <c r="C24" s="232"/>
      <c r="D24" s="217" t="s">
        <v>50</v>
      </c>
      <c r="E24" s="217"/>
      <c r="F24" s="217"/>
      <c r="G24" s="217"/>
      <c r="H24" s="217"/>
      <c r="I24" s="217"/>
      <c r="J24" s="219"/>
      <c r="K24" s="180" t="s">
        <v>51</v>
      </c>
      <c r="L24" s="163"/>
      <c r="M24" s="163"/>
      <c r="N24" s="163"/>
      <c r="O24" s="163"/>
      <c r="P24" s="163"/>
      <c r="Q24" s="163"/>
      <c r="R24" s="163"/>
      <c r="S24" s="163"/>
      <c r="T24" s="163"/>
      <c r="U24" s="163"/>
      <c r="V24" s="163"/>
      <c r="W24" s="163"/>
      <c r="X24" s="217" t="s">
        <v>52</v>
      </c>
      <c r="Y24" s="217"/>
      <c r="Z24" s="217"/>
      <c r="AA24" s="217"/>
      <c r="AB24" s="217"/>
      <c r="AC24" s="217"/>
      <c r="AD24" s="218"/>
      <c r="AE24" s="157" t="s">
        <v>53</v>
      </c>
      <c r="AF24" s="163"/>
      <c r="AG24" s="163"/>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c r="BI24" s="163"/>
      <c r="BJ24" s="163"/>
      <c r="BK24" s="163"/>
    </row>
    <row r="25" spans="2:63" ht="14.25" customHeight="1">
      <c r="B25" s="232"/>
      <c r="C25" s="232"/>
      <c r="D25" s="217"/>
      <c r="E25" s="217"/>
      <c r="F25" s="217"/>
      <c r="G25" s="217"/>
      <c r="H25" s="217"/>
      <c r="I25" s="217"/>
      <c r="J25" s="219"/>
      <c r="K25" s="180"/>
      <c r="L25" s="163"/>
      <c r="M25" s="163"/>
      <c r="N25" s="163"/>
      <c r="O25" s="163"/>
      <c r="P25" s="163"/>
      <c r="Q25" s="163"/>
      <c r="R25" s="163"/>
      <c r="S25" s="163"/>
      <c r="T25" s="163"/>
      <c r="U25" s="163"/>
      <c r="V25" s="163"/>
      <c r="W25" s="163"/>
      <c r="X25" s="217"/>
      <c r="Y25" s="217"/>
      <c r="Z25" s="217"/>
      <c r="AA25" s="217"/>
      <c r="AB25" s="217"/>
      <c r="AC25" s="217"/>
      <c r="AD25" s="218"/>
      <c r="AE25" s="157"/>
      <c r="AF25" s="163"/>
      <c r="AG25" s="163"/>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c r="BI25" s="163"/>
      <c r="BJ25" s="163"/>
      <c r="BK25" s="163"/>
    </row>
    <row r="26" spans="2:63" ht="14.25" customHeight="1">
      <c r="B26" s="232"/>
      <c r="C26" s="232"/>
      <c r="D26" s="223" t="s">
        <v>54</v>
      </c>
      <c r="E26" s="224"/>
      <c r="F26" s="224"/>
      <c r="G26" s="224"/>
      <c r="H26" s="224"/>
      <c r="I26" s="224"/>
      <c r="J26" s="224"/>
      <c r="K26" s="226" t="e">
        <f>SUM(M28:W35)</f>
        <v>#REF!</v>
      </c>
      <c r="L26" s="226"/>
      <c r="M26" s="226"/>
      <c r="N26" s="226"/>
      <c r="O26" s="226"/>
      <c r="P26" s="226"/>
      <c r="Q26" s="226"/>
      <c r="R26" s="226"/>
      <c r="S26" s="226"/>
      <c r="T26" s="226"/>
      <c r="U26" s="226"/>
      <c r="V26" s="226"/>
      <c r="W26" s="227"/>
      <c r="X26" s="217" t="s">
        <v>55</v>
      </c>
      <c r="Y26" s="217"/>
      <c r="Z26" s="217"/>
      <c r="AA26" s="217"/>
      <c r="AB26" s="217"/>
      <c r="AC26" s="217"/>
      <c r="AD26" s="219"/>
      <c r="AE26" s="221" t="e">
        <f>IF(#REF!="","",HLOOKUP(#REF!,#REF!,5,FALSE))</f>
        <v>#REF!</v>
      </c>
      <c r="AF26" s="222"/>
      <c r="AG26" s="222"/>
      <c r="AH26" s="222"/>
      <c r="AI26" s="222"/>
      <c r="AJ26" s="222"/>
      <c r="AK26" s="222"/>
      <c r="AL26" s="222"/>
      <c r="AM26" s="222"/>
      <c r="AN26" s="222"/>
      <c r="AO26" s="222"/>
      <c r="AP26" s="222"/>
      <c r="AQ26" s="222"/>
      <c r="AR26" s="217" t="s">
        <v>56</v>
      </c>
      <c r="AS26" s="217"/>
      <c r="AT26" s="217"/>
      <c r="AU26" s="217"/>
      <c r="AV26" s="217"/>
      <c r="AW26" s="217"/>
      <c r="AX26" s="219"/>
      <c r="AY26" s="221" t="e">
        <f>IF(#REF!="","",HLOOKUP(#REF!,#REF!,6,FALSE))</f>
        <v>#REF!</v>
      </c>
      <c r="AZ26" s="222"/>
      <c r="BA26" s="222"/>
      <c r="BB26" s="222"/>
      <c r="BC26" s="222"/>
      <c r="BD26" s="222"/>
      <c r="BE26" s="222"/>
      <c r="BF26" s="222"/>
      <c r="BG26" s="222"/>
      <c r="BH26" s="222"/>
      <c r="BI26" s="222"/>
      <c r="BJ26" s="222"/>
      <c r="BK26" s="222"/>
    </row>
    <row r="27" spans="2:63" ht="14.25" customHeight="1">
      <c r="B27" s="232"/>
      <c r="C27" s="232"/>
      <c r="D27" s="225"/>
      <c r="E27" s="216"/>
      <c r="F27" s="216"/>
      <c r="G27" s="216"/>
      <c r="H27" s="216"/>
      <c r="I27" s="216"/>
      <c r="J27" s="216"/>
      <c r="K27" s="211"/>
      <c r="L27" s="211"/>
      <c r="M27" s="211"/>
      <c r="N27" s="211"/>
      <c r="O27" s="211"/>
      <c r="P27" s="211"/>
      <c r="Q27" s="211"/>
      <c r="R27" s="211"/>
      <c r="S27" s="211"/>
      <c r="T27" s="211"/>
      <c r="U27" s="211"/>
      <c r="V27" s="211"/>
      <c r="W27" s="212"/>
      <c r="X27" s="217"/>
      <c r="Y27" s="217"/>
      <c r="Z27" s="217"/>
      <c r="AA27" s="217"/>
      <c r="AB27" s="217"/>
      <c r="AC27" s="217"/>
      <c r="AD27" s="219"/>
      <c r="AE27" s="221"/>
      <c r="AF27" s="222"/>
      <c r="AG27" s="222"/>
      <c r="AH27" s="222"/>
      <c r="AI27" s="222"/>
      <c r="AJ27" s="222"/>
      <c r="AK27" s="222"/>
      <c r="AL27" s="222"/>
      <c r="AM27" s="222"/>
      <c r="AN27" s="222"/>
      <c r="AO27" s="222"/>
      <c r="AP27" s="222"/>
      <c r="AQ27" s="222"/>
      <c r="AR27" s="217"/>
      <c r="AS27" s="217"/>
      <c r="AT27" s="217"/>
      <c r="AU27" s="217"/>
      <c r="AV27" s="217"/>
      <c r="AW27" s="217"/>
      <c r="AX27" s="219"/>
      <c r="AY27" s="221"/>
      <c r="AZ27" s="222"/>
      <c r="BA27" s="222"/>
      <c r="BB27" s="222"/>
      <c r="BC27" s="222"/>
      <c r="BD27" s="222"/>
      <c r="BE27" s="222"/>
      <c r="BF27" s="222"/>
      <c r="BG27" s="222"/>
      <c r="BH27" s="222"/>
      <c r="BI27" s="222"/>
      <c r="BJ27" s="222"/>
      <c r="BK27" s="222"/>
    </row>
    <row r="28" spans="2:63" ht="14.25" customHeight="1">
      <c r="B28" s="232"/>
      <c r="C28" s="232"/>
      <c r="D28" s="228" t="s">
        <v>57</v>
      </c>
      <c r="E28" s="229"/>
      <c r="F28" s="216" t="s">
        <v>58</v>
      </c>
      <c r="G28" s="216"/>
      <c r="H28" s="216"/>
      <c r="I28" s="216"/>
      <c r="J28" s="216"/>
      <c r="K28" s="216"/>
      <c r="L28" s="216"/>
      <c r="M28" s="211" t="e">
        <f>IF(#REF!="","",HLOOKUP(#REF!,#REF!,2,FALSE))</f>
        <v>#REF!</v>
      </c>
      <c r="N28" s="211"/>
      <c r="O28" s="211"/>
      <c r="P28" s="211"/>
      <c r="Q28" s="211"/>
      <c r="R28" s="211"/>
      <c r="S28" s="211"/>
      <c r="T28" s="211"/>
      <c r="U28" s="211"/>
      <c r="V28" s="211"/>
      <c r="W28" s="212"/>
      <c r="BI28" s="215" t="s">
        <v>73</v>
      </c>
      <c r="BJ28" s="215"/>
      <c r="BK28" s="215"/>
    </row>
    <row r="29" spans="2:63" ht="14.25" customHeight="1">
      <c r="B29" s="232"/>
      <c r="C29" s="232"/>
      <c r="D29" s="228"/>
      <c r="E29" s="229"/>
      <c r="F29" s="216"/>
      <c r="G29" s="216"/>
      <c r="H29" s="216"/>
      <c r="I29" s="216"/>
      <c r="J29" s="216"/>
      <c r="K29" s="216"/>
      <c r="L29" s="216"/>
      <c r="M29" s="211"/>
      <c r="N29" s="211"/>
      <c r="O29" s="211"/>
      <c r="P29" s="211"/>
      <c r="Q29" s="211"/>
      <c r="R29" s="211"/>
      <c r="S29" s="211"/>
      <c r="T29" s="211"/>
      <c r="U29" s="211"/>
      <c r="V29" s="211"/>
      <c r="W29" s="212"/>
      <c r="Y29" s="155" t="s">
        <v>59</v>
      </c>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row>
    <row r="30" spans="2:63" ht="14.25" customHeight="1">
      <c r="B30" s="232"/>
      <c r="C30" s="232"/>
      <c r="D30" s="228"/>
      <c r="E30" s="229"/>
      <c r="F30" s="216" t="s">
        <v>60</v>
      </c>
      <c r="G30" s="216"/>
      <c r="H30" s="216"/>
      <c r="I30" s="216"/>
      <c r="J30" s="216"/>
      <c r="K30" s="216"/>
      <c r="L30" s="216"/>
      <c r="M30" s="211" t="e">
        <f>IF(#REF!="","",HLOOKUP(#REF!,#REF!,3,FALSE))</f>
        <v>#REF!</v>
      </c>
      <c r="N30" s="211"/>
      <c r="O30" s="211"/>
      <c r="P30" s="211"/>
      <c r="Q30" s="211"/>
      <c r="R30" s="211"/>
      <c r="S30" s="211"/>
      <c r="T30" s="211"/>
      <c r="U30" s="211"/>
      <c r="V30" s="211"/>
      <c r="W30" s="212"/>
      <c r="Y30" s="155" t="s">
        <v>61</v>
      </c>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row>
    <row r="31" spans="2:63" ht="14.25" customHeight="1">
      <c r="B31" s="232"/>
      <c r="C31" s="232"/>
      <c r="D31" s="228"/>
      <c r="E31" s="229"/>
      <c r="F31" s="216"/>
      <c r="G31" s="216"/>
      <c r="H31" s="216"/>
      <c r="I31" s="216"/>
      <c r="J31" s="216"/>
      <c r="K31" s="216"/>
      <c r="L31" s="216"/>
      <c r="M31" s="211"/>
      <c r="N31" s="211"/>
      <c r="O31" s="211"/>
      <c r="P31" s="211"/>
      <c r="Q31" s="211"/>
      <c r="R31" s="211"/>
      <c r="S31" s="211"/>
      <c r="T31" s="211"/>
      <c r="U31" s="211"/>
      <c r="V31" s="211"/>
      <c r="W31" s="212"/>
      <c r="Y31" s="155" t="s">
        <v>64</v>
      </c>
      <c r="Z31" s="155"/>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row>
    <row r="32" spans="2:63" ht="14.25" customHeight="1">
      <c r="B32" s="232"/>
      <c r="C32" s="232"/>
      <c r="D32" s="228"/>
      <c r="E32" s="229"/>
      <c r="F32" s="216" t="s">
        <v>63</v>
      </c>
      <c r="G32" s="216"/>
      <c r="H32" s="216"/>
      <c r="I32" s="216"/>
      <c r="J32" s="216"/>
      <c r="K32" s="216"/>
      <c r="L32" s="216"/>
      <c r="M32" s="211" t="e">
        <f>IF(#REF!="","",HLOOKUP(#REF!,#REF!,4,FALSE))</f>
        <v>#REF!</v>
      </c>
      <c r="N32" s="211"/>
      <c r="O32" s="211"/>
      <c r="P32" s="211"/>
      <c r="Q32" s="211"/>
      <c r="R32" s="211"/>
      <c r="S32" s="211"/>
      <c r="T32" s="211"/>
      <c r="U32" s="211"/>
      <c r="V32" s="211"/>
      <c r="W32" s="212"/>
      <c r="Y32" s="155" t="s">
        <v>62</v>
      </c>
      <c r="Z32" s="155"/>
      <c r="AA32" s="155"/>
      <c r="AB32" s="155"/>
      <c r="AC32" s="155"/>
      <c r="AD32" s="155"/>
      <c r="AE32" s="155"/>
      <c r="AF32" s="155"/>
      <c r="AG32" s="155"/>
      <c r="AH32" s="155"/>
      <c r="AI32" s="155"/>
      <c r="AJ32" s="155"/>
      <c r="AK32" s="155"/>
      <c r="AL32" s="155"/>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row>
    <row r="33" spans="2:63" ht="14.25" customHeight="1">
      <c r="B33" s="232"/>
      <c r="C33" s="232"/>
      <c r="D33" s="228"/>
      <c r="E33" s="229"/>
      <c r="F33" s="216"/>
      <c r="G33" s="216"/>
      <c r="H33" s="216"/>
      <c r="I33" s="216"/>
      <c r="J33" s="216"/>
      <c r="K33" s="216"/>
      <c r="L33" s="216"/>
      <c r="M33" s="211"/>
      <c r="N33" s="211"/>
      <c r="O33" s="211"/>
      <c r="P33" s="211"/>
      <c r="Q33" s="211"/>
      <c r="R33" s="211"/>
      <c r="S33" s="211"/>
      <c r="T33" s="211"/>
      <c r="U33" s="211"/>
      <c r="V33" s="211"/>
      <c r="W33" s="212"/>
      <c r="Y33" s="155" t="s">
        <v>65</v>
      </c>
      <c r="Z33" s="155"/>
      <c r="AA33" s="155"/>
      <c r="AB33" s="155"/>
      <c r="AC33" s="155"/>
      <c r="AD33" s="155"/>
      <c r="AE33" s="155"/>
      <c r="AF33" s="155"/>
      <c r="AG33" s="155"/>
      <c r="AH33" s="155"/>
      <c r="AI33" s="155"/>
      <c r="AJ33" s="155"/>
      <c r="AK33" s="155"/>
      <c r="AL33" s="155"/>
      <c r="AM33" s="155"/>
      <c r="AN33" s="155"/>
      <c r="AO33" s="155"/>
      <c r="AP33" s="155"/>
      <c r="AQ33" s="155"/>
      <c r="AR33" s="155"/>
      <c r="AS33" s="155"/>
      <c r="AT33" s="155"/>
      <c r="AU33" s="155"/>
      <c r="AV33" s="155"/>
      <c r="AW33" s="155"/>
      <c r="AX33" s="155"/>
      <c r="AY33" s="155"/>
      <c r="AZ33" s="155"/>
      <c r="BA33" s="155"/>
      <c r="BB33" s="155"/>
      <c r="BC33" s="155"/>
      <c r="BD33" s="155"/>
      <c r="BE33" s="155"/>
      <c r="BF33" s="155"/>
      <c r="BG33" s="155"/>
      <c r="BH33" s="155"/>
      <c r="BI33" s="155"/>
      <c r="BJ33" s="155"/>
      <c r="BK33" s="155"/>
    </row>
    <row r="34" spans="2:63" ht="14.25" customHeight="1">
      <c r="B34" s="232"/>
      <c r="C34" s="232"/>
      <c r="D34" s="228"/>
      <c r="E34" s="229"/>
      <c r="F34" s="216" t="e">
        <f>IF(#REF!="","","特別割引")</f>
        <v>#REF!</v>
      </c>
      <c r="G34" s="216"/>
      <c r="H34" s="216"/>
      <c r="I34" s="216"/>
      <c r="J34" s="216"/>
      <c r="K34" s="216"/>
      <c r="L34" s="216"/>
      <c r="M34" s="211" t="e">
        <f>IF(#REF!="","",0-#REF!)</f>
        <v>#REF!</v>
      </c>
      <c r="N34" s="211"/>
      <c r="O34" s="211"/>
      <c r="P34" s="211"/>
      <c r="Q34" s="211"/>
      <c r="R34" s="211"/>
      <c r="S34" s="211"/>
      <c r="T34" s="211"/>
      <c r="U34" s="211"/>
      <c r="V34" s="211"/>
      <c r="W34" s="212"/>
      <c r="Y34" s="155" t="s">
        <v>66</v>
      </c>
      <c r="Z34" s="155"/>
      <c r="AA34" s="155"/>
      <c r="AB34" s="155"/>
      <c r="AC34" s="155"/>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row>
    <row r="35" spans="2:63" ht="14.25" customHeight="1">
      <c r="B35" s="232"/>
      <c r="C35" s="232"/>
      <c r="D35" s="230"/>
      <c r="E35" s="231"/>
      <c r="F35" s="233"/>
      <c r="G35" s="233"/>
      <c r="H35" s="233"/>
      <c r="I35" s="233"/>
      <c r="J35" s="233"/>
      <c r="K35" s="233"/>
      <c r="L35" s="233"/>
      <c r="M35" s="213"/>
      <c r="N35" s="213"/>
      <c r="O35" s="213"/>
      <c r="P35" s="213"/>
      <c r="Q35" s="213"/>
      <c r="R35" s="213"/>
      <c r="S35" s="213"/>
      <c r="T35" s="213"/>
      <c r="U35" s="213"/>
      <c r="V35" s="213"/>
      <c r="W35" s="214"/>
    </row>
    <row r="36" spans="2:63" ht="14.25" customHeight="1">
      <c r="Y36" s="152" t="s">
        <v>67</v>
      </c>
      <c r="Z36" s="152"/>
      <c r="AA36" s="152"/>
      <c r="AB36" s="152"/>
      <c r="AC36" s="152"/>
      <c r="AD36" s="152"/>
      <c r="AE36" s="152"/>
      <c r="AF36" s="152"/>
      <c r="AG36" s="152"/>
      <c r="AH36" s="152"/>
      <c r="AI36" s="152"/>
      <c r="AJ36" s="152"/>
      <c r="AK36" s="152"/>
      <c r="AL36" s="152"/>
      <c r="AM36" s="152"/>
      <c r="AN36" s="152"/>
      <c r="AO36" s="152"/>
      <c r="AP36" s="152"/>
      <c r="AQ36" s="152"/>
      <c r="AR36" s="153" t="s">
        <v>110</v>
      </c>
      <c r="AS36" s="153"/>
      <c r="AT36" s="153"/>
      <c r="AU36" s="153"/>
      <c r="AV36" s="153"/>
      <c r="AW36" s="153"/>
      <c r="AX36" s="153"/>
      <c r="AY36" s="153"/>
      <c r="AZ36" s="153"/>
      <c r="BA36" s="153"/>
      <c r="BB36" s="153"/>
      <c r="BC36" s="153"/>
      <c r="BD36" s="153"/>
      <c r="BE36" s="153"/>
      <c r="BF36" s="153"/>
      <c r="BG36" s="153"/>
      <c r="BH36" s="153"/>
      <c r="BI36" s="153"/>
      <c r="BJ36" s="153"/>
      <c r="BK36" s="18"/>
    </row>
    <row r="37" spans="2:63" ht="14.25" customHeight="1">
      <c r="Y37" s="152"/>
      <c r="Z37" s="152"/>
      <c r="AA37" s="152"/>
      <c r="AB37" s="152"/>
      <c r="AC37" s="152"/>
      <c r="AD37" s="152"/>
      <c r="AE37" s="152"/>
      <c r="AF37" s="152"/>
      <c r="AG37" s="152"/>
      <c r="AH37" s="152"/>
      <c r="AI37" s="152"/>
      <c r="AJ37" s="152"/>
      <c r="AK37" s="152"/>
      <c r="AL37" s="152"/>
      <c r="AM37" s="152"/>
      <c r="AN37" s="152"/>
      <c r="AO37" s="152"/>
      <c r="AP37" s="152"/>
      <c r="AQ37" s="152"/>
      <c r="AR37" s="153"/>
      <c r="AS37" s="153"/>
      <c r="AT37" s="153"/>
      <c r="AU37" s="153"/>
      <c r="AV37" s="153"/>
      <c r="AW37" s="153"/>
      <c r="AX37" s="153"/>
      <c r="AY37" s="153"/>
      <c r="AZ37" s="153"/>
      <c r="BA37" s="153"/>
      <c r="BB37" s="153"/>
      <c r="BC37" s="153"/>
      <c r="BD37" s="153"/>
      <c r="BE37" s="153"/>
      <c r="BF37" s="153"/>
      <c r="BG37" s="153"/>
      <c r="BH37" s="153"/>
      <c r="BI37" s="153"/>
      <c r="BJ37" s="153"/>
      <c r="BK37" s="18"/>
    </row>
    <row r="38" spans="2:63" ht="14.25" customHeight="1">
      <c r="H38" s="154" t="s">
        <v>68</v>
      </c>
      <c r="I38" s="154"/>
      <c r="J38" s="154"/>
      <c r="Y38" s="152"/>
      <c r="Z38" s="152"/>
      <c r="AA38" s="152"/>
      <c r="AB38" s="152"/>
      <c r="AC38" s="152"/>
      <c r="AD38" s="152"/>
      <c r="AE38" s="152"/>
      <c r="AF38" s="152"/>
      <c r="AG38" s="152"/>
      <c r="AH38" s="152"/>
      <c r="AI38" s="152"/>
      <c r="AJ38" s="152"/>
      <c r="AK38" s="152"/>
      <c r="AL38" s="152"/>
      <c r="AM38" s="152"/>
      <c r="AN38" s="152"/>
      <c r="AO38" s="152"/>
      <c r="AP38" s="152"/>
      <c r="AQ38" s="152"/>
      <c r="AR38" s="153"/>
      <c r="AS38" s="153"/>
      <c r="AT38" s="153"/>
      <c r="AU38" s="153"/>
      <c r="AV38" s="153"/>
      <c r="AW38" s="153"/>
      <c r="AX38" s="153"/>
      <c r="AY38" s="153"/>
      <c r="AZ38" s="153"/>
      <c r="BA38" s="153"/>
      <c r="BB38" s="153"/>
      <c r="BC38" s="153"/>
      <c r="BD38" s="153"/>
      <c r="BE38" s="153"/>
      <c r="BF38" s="153"/>
      <c r="BG38" s="153"/>
      <c r="BH38" s="153"/>
      <c r="BI38" s="153"/>
      <c r="BJ38" s="153"/>
      <c r="BK38" s="18"/>
    </row>
    <row r="39" spans="2:63" ht="14.25" customHeight="1">
      <c r="Y39" s="152"/>
      <c r="Z39" s="152"/>
      <c r="AA39" s="152"/>
      <c r="AB39" s="152"/>
      <c r="AC39" s="152"/>
      <c r="AD39" s="152"/>
      <c r="AE39" s="152"/>
      <c r="AF39" s="152"/>
      <c r="AG39" s="152"/>
      <c r="AH39" s="152"/>
      <c r="AI39" s="152"/>
      <c r="AJ39" s="152"/>
      <c r="AK39" s="152"/>
      <c r="AL39" s="152"/>
      <c r="AM39" s="152"/>
      <c r="AN39" s="152"/>
      <c r="AO39" s="152"/>
      <c r="AP39" s="152"/>
      <c r="AQ39" s="152"/>
      <c r="AR39" s="153"/>
      <c r="AS39" s="153"/>
      <c r="AT39" s="153"/>
      <c r="AU39" s="153"/>
      <c r="AV39" s="153"/>
      <c r="AW39" s="153"/>
      <c r="AX39" s="153"/>
      <c r="AY39" s="153"/>
      <c r="AZ39" s="153"/>
      <c r="BA39" s="153"/>
      <c r="BB39" s="153"/>
      <c r="BC39" s="153"/>
      <c r="BD39" s="153"/>
      <c r="BE39" s="153"/>
      <c r="BF39" s="153"/>
      <c r="BG39" s="153"/>
      <c r="BH39" s="153"/>
      <c r="BI39" s="153"/>
      <c r="BJ39" s="153"/>
    </row>
  </sheetData>
  <mergeCells count="74">
    <mergeCell ref="B1:U2"/>
    <mergeCell ref="Z2:AC2"/>
    <mergeCell ref="AD2:AF2"/>
    <mergeCell ref="AH2:AJ2"/>
    <mergeCell ref="AL2:AN2"/>
    <mergeCell ref="AO4:AQ4"/>
    <mergeCell ref="AS4:AU4"/>
    <mergeCell ref="AW4:AY4"/>
    <mergeCell ref="B5:C20"/>
    <mergeCell ref="D5:J5"/>
    <mergeCell ref="K5:BE5"/>
    <mergeCell ref="D11:J13"/>
    <mergeCell ref="K11:BK13"/>
    <mergeCell ref="D14:J14"/>
    <mergeCell ref="K14:AG14"/>
    <mergeCell ref="B4:V4"/>
    <mergeCell ref="AK4:AN4"/>
    <mergeCell ref="BF5:BK10"/>
    <mergeCell ref="D6:J7"/>
    <mergeCell ref="K6:BE7"/>
    <mergeCell ref="D8:J8"/>
    <mergeCell ref="K8:BE8"/>
    <mergeCell ref="D9:J10"/>
    <mergeCell ref="K9:BE10"/>
    <mergeCell ref="AH14:AN14"/>
    <mergeCell ref="AO14:BK14"/>
    <mergeCell ref="D15:J16"/>
    <mergeCell ref="K15:AG16"/>
    <mergeCell ref="AH15:AN16"/>
    <mergeCell ref="AO15:BK16"/>
    <mergeCell ref="D17:J18"/>
    <mergeCell ref="K17:AG18"/>
    <mergeCell ref="AH17:AN18"/>
    <mergeCell ref="AO17:BK18"/>
    <mergeCell ref="D19:J20"/>
    <mergeCell ref="K19:AG20"/>
    <mergeCell ref="AH19:AN20"/>
    <mergeCell ref="AO19:BK20"/>
    <mergeCell ref="B22:C35"/>
    <mergeCell ref="D22:J23"/>
    <mergeCell ref="K22:W23"/>
    <mergeCell ref="X22:AD23"/>
    <mergeCell ref="AE22:AQ23"/>
    <mergeCell ref="F32:L33"/>
    <mergeCell ref="M32:W33"/>
    <mergeCell ref="Y32:BK32"/>
    <mergeCell ref="Y33:BK33"/>
    <mergeCell ref="AY22:BK23"/>
    <mergeCell ref="D24:J25"/>
    <mergeCell ref="K24:W25"/>
    <mergeCell ref="X24:AD25"/>
    <mergeCell ref="AE24:BK25"/>
    <mergeCell ref="AR22:AX23"/>
    <mergeCell ref="AY26:BK27"/>
    <mergeCell ref="D28:E35"/>
    <mergeCell ref="F28:L29"/>
    <mergeCell ref="M28:W29"/>
    <mergeCell ref="BI28:BK28"/>
    <mergeCell ref="Y29:BK29"/>
    <mergeCell ref="F30:L31"/>
    <mergeCell ref="M30:W31"/>
    <mergeCell ref="Y30:BK30"/>
    <mergeCell ref="Y31:BK31"/>
    <mergeCell ref="D26:J27"/>
    <mergeCell ref="K26:W27"/>
    <mergeCell ref="X26:AD27"/>
    <mergeCell ref="Y36:AQ39"/>
    <mergeCell ref="AR36:BJ39"/>
    <mergeCell ref="H38:J38"/>
    <mergeCell ref="AE26:AQ27"/>
    <mergeCell ref="AR26:AX27"/>
    <mergeCell ref="F34:L35"/>
    <mergeCell ref="M34:W35"/>
    <mergeCell ref="Y34:BK34"/>
  </mergeCells>
  <phoneticPr fontId="1"/>
  <printOptions horizontalCentered="1" verticalCentered="1"/>
  <pageMargins left="0.23622047244094491" right="0.23622047244094491" top="0.55118110236220474" bottom="0.35433070866141736" header="0.31496062992125984" footer="0.31496062992125984"/>
  <pageSetup paperSize="9"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B1:BK39"/>
  <sheetViews>
    <sheetView view="pageBreakPreview" topLeftCell="A13" zoomScale="85" zoomScaleNormal="85" zoomScaleSheetLayoutView="85" workbookViewId="0">
      <selection activeCell="BT30" sqref="BT30"/>
    </sheetView>
  </sheetViews>
  <sheetFormatPr baseColWidth="10" defaultColWidth="9" defaultRowHeight="16"/>
  <cols>
    <col min="1" max="69" width="2.1640625" style="17" customWidth="1"/>
    <col min="70" max="16384" width="9" style="17"/>
  </cols>
  <sheetData>
    <row r="1" spans="2:63">
      <c r="B1" s="239" t="s">
        <v>22</v>
      </c>
      <c r="C1" s="239"/>
      <c r="D1" s="239"/>
      <c r="E1" s="239"/>
      <c r="F1" s="239"/>
      <c r="G1" s="239"/>
      <c r="H1" s="239"/>
      <c r="I1" s="239"/>
      <c r="J1" s="239"/>
      <c r="K1" s="239"/>
      <c r="L1" s="239"/>
      <c r="M1" s="239"/>
      <c r="N1" s="239"/>
      <c r="O1" s="239"/>
      <c r="P1" s="239"/>
      <c r="Q1" s="239"/>
      <c r="R1" s="239"/>
      <c r="S1" s="239"/>
      <c r="T1" s="239"/>
      <c r="U1" s="239"/>
    </row>
    <row r="2" spans="2:63">
      <c r="B2" s="239"/>
      <c r="C2" s="239"/>
      <c r="D2" s="239"/>
      <c r="E2" s="239"/>
      <c r="F2" s="239"/>
      <c r="G2" s="239"/>
      <c r="H2" s="239"/>
      <c r="I2" s="239"/>
      <c r="J2" s="239"/>
      <c r="K2" s="239"/>
      <c r="L2" s="239"/>
      <c r="M2" s="239"/>
      <c r="N2" s="239"/>
      <c r="O2" s="239"/>
      <c r="P2" s="239"/>
      <c r="Q2" s="239"/>
      <c r="R2" s="239"/>
      <c r="S2" s="239"/>
      <c r="T2" s="239"/>
      <c r="U2" s="239"/>
      <c r="Z2" s="193"/>
      <c r="AA2" s="193"/>
      <c r="AB2" s="193"/>
      <c r="AC2" s="193"/>
      <c r="AD2" s="193"/>
      <c r="AE2" s="193"/>
      <c r="AF2" s="193"/>
      <c r="AH2" s="193"/>
      <c r="AI2" s="193"/>
      <c r="AJ2" s="193"/>
      <c r="AL2" s="193"/>
      <c r="AM2" s="193"/>
      <c r="AN2" s="193"/>
    </row>
    <row r="3" spans="2:63">
      <c r="BA3"/>
    </row>
    <row r="4" spans="2:63">
      <c r="B4" s="200" t="s">
        <v>23</v>
      </c>
      <c r="C4" s="200"/>
      <c r="D4" s="200"/>
      <c r="E4" s="200"/>
      <c r="F4" s="200"/>
      <c r="G4" s="200"/>
      <c r="H4" s="200"/>
      <c r="I4" s="200"/>
      <c r="J4" s="200"/>
      <c r="K4" s="200"/>
      <c r="L4" s="200"/>
      <c r="M4" s="200"/>
      <c r="N4" s="200"/>
      <c r="O4" s="200"/>
      <c r="P4" s="200"/>
      <c r="Q4" s="200"/>
      <c r="R4" s="200"/>
      <c r="S4" s="200"/>
      <c r="T4" s="200"/>
      <c r="U4" s="200"/>
      <c r="V4" s="200"/>
      <c r="AK4" s="193" t="s">
        <v>24</v>
      </c>
      <c r="AL4" s="193"/>
      <c r="AM4" s="193"/>
      <c r="AN4" s="193"/>
      <c r="AO4" s="270">
        <v>2016</v>
      </c>
      <c r="AP4" s="270"/>
      <c r="AQ4" s="270"/>
      <c r="AR4" s="17" t="s">
        <v>25</v>
      </c>
      <c r="AS4" s="270">
        <v>6</v>
      </c>
      <c r="AT4" s="270"/>
      <c r="AU4" s="270"/>
      <c r="AV4" s="17" t="s">
        <v>26</v>
      </c>
      <c r="AW4" s="270">
        <v>1</v>
      </c>
      <c r="AX4" s="270"/>
      <c r="AY4" s="270"/>
      <c r="AZ4" s="17" t="s">
        <v>27</v>
      </c>
    </row>
    <row r="5" spans="2:63">
      <c r="B5" s="232" t="s">
        <v>28</v>
      </c>
      <c r="C5" s="232"/>
      <c r="D5" s="237" t="s">
        <v>84</v>
      </c>
      <c r="E5" s="237"/>
      <c r="F5" s="237"/>
      <c r="G5" s="237"/>
      <c r="H5" s="237"/>
      <c r="I5" s="237"/>
      <c r="J5" s="238"/>
      <c r="K5" s="259" t="s">
        <v>85</v>
      </c>
      <c r="L5" s="260"/>
      <c r="M5" s="260"/>
      <c r="N5" s="260"/>
      <c r="O5" s="260"/>
      <c r="P5" s="260"/>
      <c r="Q5" s="260"/>
      <c r="R5" s="260"/>
      <c r="S5" s="260"/>
      <c r="T5" s="260"/>
      <c r="U5" s="260"/>
      <c r="V5" s="260"/>
      <c r="W5" s="260"/>
      <c r="X5" s="260"/>
      <c r="Y5" s="260"/>
      <c r="Z5" s="260"/>
      <c r="AA5" s="260"/>
      <c r="AB5" s="260"/>
      <c r="AC5" s="260"/>
      <c r="AD5" s="260"/>
      <c r="AE5" s="260"/>
      <c r="AF5" s="260"/>
      <c r="AG5" s="260"/>
      <c r="AH5" s="260"/>
      <c r="AI5" s="260"/>
      <c r="AJ5" s="260"/>
      <c r="AK5" s="260"/>
      <c r="AL5" s="260"/>
      <c r="AM5" s="260"/>
      <c r="AN5" s="260"/>
      <c r="AO5" s="260"/>
      <c r="AP5" s="260"/>
      <c r="AQ5" s="260"/>
      <c r="AR5" s="260"/>
      <c r="AS5" s="260"/>
      <c r="AT5" s="260"/>
      <c r="AU5" s="260"/>
      <c r="AV5" s="260"/>
      <c r="AW5" s="260"/>
      <c r="AX5" s="260"/>
      <c r="AY5" s="260"/>
      <c r="AZ5" s="260"/>
      <c r="BA5" s="260"/>
      <c r="BB5" s="260"/>
      <c r="BC5" s="260"/>
      <c r="BD5" s="260"/>
      <c r="BE5" s="261"/>
      <c r="BF5" s="201" t="s">
        <v>30</v>
      </c>
      <c r="BG5" s="201"/>
      <c r="BH5" s="201"/>
      <c r="BI5" s="201"/>
      <c r="BJ5" s="201"/>
      <c r="BK5" s="201"/>
    </row>
    <row r="6" spans="2:63">
      <c r="B6" s="232"/>
      <c r="C6" s="232"/>
      <c r="D6" s="225" t="s">
        <v>31</v>
      </c>
      <c r="E6" s="216"/>
      <c r="F6" s="216"/>
      <c r="G6" s="216"/>
      <c r="H6" s="216"/>
      <c r="I6" s="216"/>
      <c r="J6" s="216"/>
      <c r="K6" s="262" t="s">
        <v>8</v>
      </c>
      <c r="L6" s="263"/>
      <c r="M6" s="263"/>
      <c r="N6" s="263"/>
      <c r="O6" s="263"/>
      <c r="P6" s="263"/>
      <c r="Q6" s="263"/>
      <c r="R6" s="263"/>
      <c r="S6" s="263"/>
      <c r="T6" s="263"/>
      <c r="U6" s="263"/>
      <c r="V6" s="263"/>
      <c r="W6" s="263"/>
      <c r="X6" s="263"/>
      <c r="Y6" s="263"/>
      <c r="Z6" s="263"/>
      <c r="AA6" s="263"/>
      <c r="AB6" s="263"/>
      <c r="AC6" s="263"/>
      <c r="AD6" s="263"/>
      <c r="AE6" s="263"/>
      <c r="AF6" s="263"/>
      <c r="AG6" s="263"/>
      <c r="AH6" s="263"/>
      <c r="AI6" s="263"/>
      <c r="AJ6" s="263"/>
      <c r="AK6" s="263"/>
      <c r="AL6" s="263"/>
      <c r="AM6" s="263"/>
      <c r="AN6" s="263"/>
      <c r="AO6" s="263"/>
      <c r="AP6" s="263"/>
      <c r="AQ6" s="263"/>
      <c r="AR6" s="263"/>
      <c r="AS6" s="263"/>
      <c r="AT6" s="263"/>
      <c r="AU6" s="263"/>
      <c r="AV6" s="263"/>
      <c r="AW6" s="263"/>
      <c r="AX6" s="263"/>
      <c r="AY6" s="263"/>
      <c r="AZ6" s="263"/>
      <c r="BA6" s="263"/>
      <c r="BB6" s="263"/>
      <c r="BC6" s="263"/>
      <c r="BD6" s="263"/>
      <c r="BE6" s="264"/>
      <c r="BF6" s="201"/>
      <c r="BG6" s="201"/>
      <c r="BH6" s="201"/>
      <c r="BI6" s="201"/>
      <c r="BJ6" s="201"/>
      <c r="BK6" s="201"/>
    </row>
    <row r="7" spans="2:63">
      <c r="B7" s="232"/>
      <c r="C7" s="232"/>
      <c r="D7" s="236"/>
      <c r="E7" s="233"/>
      <c r="F7" s="233"/>
      <c r="G7" s="233"/>
      <c r="H7" s="233"/>
      <c r="I7" s="233"/>
      <c r="J7" s="233"/>
      <c r="K7" s="265"/>
      <c r="L7" s="266"/>
      <c r="M7" s="266"/>
      <c r="N7" s="266"/>
      <c r="O7" s="266"/>
      <c r="P7" s="266"/>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7"/>
      <c r="BF7" s="201"/>
      <c r="BG7" s="201"/>
      <c r="BH7" s="201"/>
      <c r="BI7" s="201"/>
      <c r="BJ7" s="201"/>
      <c r="BK7" s="201"/>
    </row>
    <row r="8" spans="2:63">
      <c r="B8" s="232"/>
      <c r="C8" s="232"/>
      <c r="D8" s="237" t="s">
        <v>86</v>
      </c>
      <c r="E8" s="237"/>
      <c r="F8" s="237"/>
      <c r="G8" s="237"/>
      <c r="H8" s="237"/>
      <c r="I8" s="237"/>
      <c r="J8" s="238"/>
      <c r="K8" s="259" t="s">
        <v>87</v>
      </c>
      <c r="L8" s="260"/>
      <c r="M8" s="260"/>
      <c r="N8" s="260"/>
      <c r="O8" s="260"/>
      <c r="P8" s="260"/>
      <c r="Q8" s="260"/>
      <c r="R8" s="260"/>
      <c r="S8" s="260"/>
      <c r="T8" s="260"/>
      <c r="U8" s="260"/>
      <c r="V8" s="260"/>
      <c r="W8" s="260"/>
      <c r="X8" s="260"/>
      <c r="Y8" s="260"/>
      <c r="Z8" s="260"/>
      <c r="AA8" s="260"/>
      <c r="AB8" s="260"/>
      <c r="AC8" s="260"/>
      <c r="AD8" s="260"/>
      <c r="AE8" s="260"/>
      <c r="AF8" s="260"/>
      <c r="AG8" s="260"/>
      <c r="AH8" s="260"/>
      <c r="AI8" s="260"/>
      <c r="AJ8" s="260"/>
      <c r="AK8" s="260"/>
      <c r="AL8" s="260"/>
      <c r="AM8" s="260"/>
      <c r="AN8" s="260"/>
      <c r="AO8" s="260"/>
      <c r="AP8" s="260"/>
      <c r="AQ8" s="260"/>
      <c r="AR8" s="260"/>
      <c r="AS8" s="260"/>
      <c r="AT8" s="260"/>
      <c r="AU8" s="260"/>
      <c r="AV8" s="260"/>
      <c r="AW8" s="260"/>
      <c r="AX8" s="260"/>
      <c r="AY8" s="260"/>
      <c r="AZ8" s="260"/>
      <c r="BA8" s="260"/>
      <c r="BB8" s="260"/>
      <c r="BC8" s="260"/>
      <c r="BD8" s="260"/>
      <c r="BE8" s="261"/>
      <c r="BF8" s="201"/>
      <c r="BG8" s="201"/>
      <c r="BH8" s="201"/>
      <c r="BI8" s="201"/>
      <c r="BJ8" s="201"/>
      <c r="BK8" s="201"/>
    </row>
    <row r="9" spans="2:63">
      <c r="B9" s="232"/>
      <c r="C9" s="232"/>
      <c r="D9" s="234" t="s">
        <v>33</v>
      </c>
      <c r="E9" s="234"/>
      <c r="F9" s="234"/>
      <c r="G9" s="234"/>
      <c r="H9" s="234"/>
      <c r="I9" s="234"/>
      <c r="J9" s="225"/>
      <c r="K9" s="262" t="s">
        <v>88</v>
      </c>
      <c r="L9" s="263"/>
      <c r="M9" s="263"/>
      <c r="N9" s="263"/>
      <c r="O9" s="263"/>
      <c r="P9" s="263"/>
      <c r="Q9" s="263"/>
      <c r="R9" s="263"/>
      <c r="S9" s="263"/>
      <c r="T9" s="263"/>
      <c r="U9" s="263"/>
      <c r="V9" s="263"/>
      <c r="W9" s="263"/>
      <c r="X9" s="263"/>
      <c r="Y9" s="263"/>
      <c r="Z9" s="263"/>
      <c r="AA9" s="263"/>
      <c r="AB9" s="263"/>
      <c r="AC9" s="263"/>
      <c r="AD9" s="263"/>
      <c r="AE9" s="263"/>
      <c r="AF9" s="263"/>
      <c r="AG9" s="263"/>
      <c r="AH9" s="263"/>
      <c r="AI9" s="263"/>
      <c r="AJ9" s="263"/>
      <c r="AK9" s="263"/>
      <c r="AL9" s="263"/>
      <c r="AM9" s="263"/>
      <c r="AN9" s="263"/>
      <c r="AO9" s="263"/>
      <c r="AP9" s="263"/>
      <c r="AQ9" s="263"/>
      <c r="AR9" s="263"/>
      <c r="AS9" s="263"/>
      <c r="AT9" s="263"/>
      <c r="AU9" s="263"/>
      <c r="AV9" s="263"/>
      <c r="AW9" s="263"/>
      <c r="AX9" s="263"/>
      <c r="AY9" s="263"/>
      <c r="AZ9" s="263"/>
      <c r="BA9" s="263"/>
      <c r="BB9" s="263"/>
      <c r="BC9" s="263"/>
      <c r="BD9" s="263"/>
      <c r="BE9" s="264"/>
      <c r="BF9" s="201"/>
      <c r="BG9" s="201"/>
      <c r="BH9" s="201"/>
      <c r="BI9" s="201"/>
      <c r="BJ9" s="201"/>
      <c r="BK9" s="201"/>
    </row>
    <row r="10" spans="2:63">
      <c r="B10" s="232"/>
      <c r="C10" s="232"/>
      <c r="D10" s="235"/>
      <c r="E10" s="235"/>
      <c r="F10" s="235"/>
      <c r="G10" s="235"/>
      <c r="H10" s="235"/>
      <c r="I10" s="235"/>
      <c r="J10" s="236"/>
      <c r="K10" s="265"/>
      <c r="L10" s="266"/>
      <c r="M10" s="266"/>
      <c r="N10" s="266"/>
      <c r="O10" s="266"/>
      <c r="P10" s="266"/>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7"/>
      <c r="BF10" s="201"/>
      <c r="BG10" s="201"/>
      <c r="BH10" s="201"/>
      <c r="BI10" s="201"/>
      <c r="BJ10" s="201"/>
      <c r="BK10" s="201"/>
    </row>
    <row r="11" spans="2:63">
      <c r="B11" s="232"/>
      <c r="C11" s="232"/>
      <c r="D11" s="217" t="s">
        <v>34</v>
      </c>
      <c r="E11" s="217"/>
      <c r="F11" s="217"/>
      <c r="G11" s="217"/>
      <c r="H11" s="217"/>
      <c r="I11" s="217"/>
      <c r="J11" s="219"/>
      <c r="K11" s="271" t="s">
        <v>89</v>
      </c>
      <c r="L11" s="251"/>
      <c r="M11" s="251"/>
      <c r="N11" s="251"/>
      <c r="O11" s="251"/>
      <c r="P11" s="251"/>
      <c r="Q11" s="251"/>
      <c r="R11" s="251"/>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row>
    <row r="12" spans="2:63">
      <c r="B12" s="232"/>
      <c r="C12" s="232"/>
      <c r="D12" s="217"/>
      <c r="E12" s="217"/>
      <c r="F12" s="217"/>
      <c r="G12" s="217"/>
      <c r="H12" s="217"/>
      <c r="I12" s="217"/>
      <c r="J12" s="219"/>
      <c r="K12" s="250"/>
      <c r="L12" s="251"/>
      <c r="M12" s="251"/>
      <c r="N12" s="251"/>
      <c r="O12" s="251"/>
      <c r="P12" s="251"/>
      <c r="Q12" s="251"/>
      <c r="R12" s="251"/>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row>
    <row r="13" spans="2:63">
      <c r="B13" s="232"/>
      <c r="C13" s="232"/>
      <c r="D13" s="217"/>
      <c r="E13" s="217"/>
      <c r="F13" s="217"/>
      <c r="G13" s="217"/>
      <c r="H13" s="217"/>
      <c r="I13" s="217"/>
      <c r="J13" s="219"/>
      <c r="K13" s="250"/>
      <c r="L13" s="251"/>
      <c r="M13" s="251"/>
      <c r="N13" s="251"/>
      <c r="O13" s="251"/>
      <c r="P13" s="251"/>
      <c r="Q13" s="251"/>
      <c r="R13" s="251"/>
      <c r="S13" s="251"/>
      <c r="T13" s="251"/>
      <c r="U13" s="251"/>
      <c r="V13" s="251"/>
      <c r="W13" s="251"/>
      <c r="X13" s="251"/>
      <c r="Y13" s="251"/>
      <c r="Z13" s="251"/>
      <c r="AA13" s="251"/>
      <c r="AB13" s="251"/>
      <c r="AC13" s="251"/>
      <c r="AD13" s="251"/>
      <c r="AE13" s="251"/>
      <c r="AF13" s="251"/>
      <c r="AG13" s="251"/>
      <c r="AH13" s="251"/>
      <c r="AI13" s="251"/>
      <c r="AJ13" s="251"/>
      <c r="AK13" s="251"/>
      <c r="AL13" s="251"/>
      <c r="AM13" s="251"/>
      <c r="AN13" s="251"/>
      <c r="AO13" s="251"/>
      <c r="AP13" s="251"/>
      <c r="AQ13" s="251"/>
      <c r="AR13" s="251"/>
      <c r="AS13" s="251"/>
      <c r="AT13" s="251"/>
      <c r="AU13" s="251"/>
      <c r="AV13" s="251"/>
      <c r="AW13" s="251"/>
      <c r="AX13" s="251"/>
      <c r="AY13" s="251"/>
      <c r="AZ13" s="251"/>
      <c r="BA13" s="251"/>
      <c r="BB13" s="251"/>
      <c r="BC13" s="251"/>
      <c r="BD13" s="251"/>
      <c r="BE13" s="251"/>
      <c r="BF13" s="251"/>
      <c r="BG13" s="251"/>
      <c r="BH13" s="251"/>
      <c r="BI13" s="251"/>
      <c r="BJ13" s="251"/>
      <c r="BK13" s="251"/>
    </row>
    <row r="14" spans="2:63">
      <c r="B14" s="232"/>
      <c r="C14" s="232"/>
      <c r="D14" s="237" t="s">
        <v>86</v>
      </c>
      <c r="E14" s="237"/>
      <c r="F14" s="237"/>
      <c r="G14" s="237"/>
      <c r="H14" s="237"/>
      <c r="I14" s="237"/>
      <c r="J14" s="238"/>
      <c r="K14" s="268" t="s">
        <v>90</v>
      </c>
      <c r="L14" s="269"/>
      <c r="M14" s="269"/>
      <c r="N14" s="269"/>
      <c r="O14" s="269"/>
      <c r="P14" s="269"/>
      <c r="Q14" s="269"/>
      <c r="R14" s="269"/>
      <c r="S14" s="269"/>
      <c r="T14" s="269"/>
      <c r="U14" s="269"/>
      <c r="V14" s="269"/>
      <c r="W14" s="269"/>
      <c r="X14" s="269"/>
      <c r="Y14" s="269"/>
      <c r="Z14" s="269"/>
      <c r="AA14" s="269"/>
      <c r="AB14" s="269"/>
      <c r="AC14" s="269"/>
      <c r="AD14" s="269"/>
      <c r="AE14" s="269"/>
      <c r="AF14" s="269"/>
      <c r="AG14" s="269"/>
      <c r="AH14" s="237" t="s">
        <v>86</v>
      </c>
      <c r="AI14" s="237"/>
      <c r="AJ14" s="237"/>
      <c r="AK14" s="237"/>
      <c r="AL14" s="237"/>
      <c r="AM14" s="237"/>
      <c r="AN14" s="238"/>
      <c r="AO14" s="268" t="s">
        <v>91</v>
      </c>
      <c r="AP14" s="269"/>
      <c r="AQ14" s="269"/>
      <c r="AR14" s="269"/>
      <c r="AS14" s="269"/>
      <c r="AT14" s="269"/>
      <c r="AU14" s="269"/>
      <c r="AV14" s="269"/>
      <c r="AW14" s="269"/>
      <c r="AX14" s="269"/>
      <c r="AY14" s="269"/>
      <c r="AZ14" s="269"/>
      <c r="BA14" s="269"/>
      <c r="BB14" s="269"/>
      <c r="BC14" s="269"/>
      <c r="BD14" s="269"/>
      <c r="BE14" s="269"/>
      <c r="BF14" s="269"/>
      <c r="BG14" s="269"/>
      <c r="BH14" s="269"/>
      <c r="BI14" s="269"/>
      <c r="BJ14" s="269"/>
      <c r="BK14" s="269"/>
    </row>
    <row r="15" spans="2:63">
      <c r="B15" s="232"/>
      <c r="C15" s="232"/>
      <c r="D15" s="234" t="s">
        <v>36</v>
      </c>
      <c r="E15" s="234"/>
      <c r="F15" s="234"/>
      <c r="G15" s="234"/>
      <c r="H15" s="234"/>
      <c r="I15" s="234"/>
      <c r="J15" s="225"/>
      <c r="K15" s="254" t="s">
        <v>92</v>
      </c>
      <c r="L15" s="255"/>
      <c r="M15" s="255"/>
      <c r="N15" s="255"/>
      <c r="O15" s="255"/>
      <c r="P15" s="255"/>
      <c r="Q15" s="255"/>
      <c r="R15" s="255"/>
      <c r="S15" s="255"/>
      <c r="T15" s="255"/>
      <c r="U15" s="255"/>
      <c r="V15" s="255"/>
      <c r="W15" s="255"/>
      <c r="X15" s="255"/>
      <c r="Y15" s="255"/>
      <c r="Z15" s="255"/>
      <c r="AA15" s="255"/>
      <c r="AB15" s="255"/>
      <c r="AC15" s="255"/>
      <c r="AD15" s="255"/>
      <c r="AE15" s="255"/>
      <c r="AF15" s="255"/>
      <c r="AG15" s="255"/>
      <c r="AH15" s="234" t="s">
        <v>37</v>
      </c>
      <c r="AI15" s="234"/>
      <c r="AJ15" s="234"/>
      <c r="AK15" s="234"/>
      <c r="AL15" s="234"/>
      <c r="AM15" s="234"/>
      <c r="AN15" s="225"/>
      <c r="AO15" s="254" t="s">
        <v>93</v>
      </c>
      <c r="AP15" s="255"/>
      <c r="AQ15" s="255"/>
      <c r="AR15" s="255"/>
      <c r="AS15" s="255"/>
      <c r="AT15" s="255"/>
      <c r="AU15" s="255"/>
      <c r="AV15" s="255"/>
      <c r="AW15" s="255"/>
      <c r="AX15" s="255"/>
      <c r="AY15" s="255"/>
      <c r="AZ15" s="255"/>
      <c r="BA15" s="255"/>
      <c r="BB15" s="255"/>
      <c r="BC15" s="255"/>
      <c r="BD15" s="255"/>
      <c r="BE15" s="255"/>
      <c r="BF15" s="255"/>
      <c r="BG15" s="255"/>
      <c r="BH15" s="255"/>
      <c r="BI15" s="255"/>
      <c r="BJ15" s="255"/>
      <c r="BK15" s="255"/>
    </row>
    <row r="16" spans="2:63">
      <c r="B16" s="232"/>
      <c r="C16" s="232"/>
      <c r="D16" s="235"/>
      <c r="E16" s="235"/>
      <c r="F16" s="235"/>
      <c r="G16" s="235"/>
      <c r="H16" s="235"/>
      <c r="I16" s="235"/>
      <c r="J16" s="236"/>
      <c r="K16" s="256"/>
      <c r="L16" s="257"/>
      <c r="M16" s="257"/>
      <c r="N16" s="257"/>
      <c r="O16" s="257"/>
      <c r="P16" s="257"/>
      <c r="Q16" s="257"/>
      <c r="R16" s="257"/>
      <c r="S16" s="257"/>
      <c r="T16" s="257"/>
      <c r="U16" s="257"/>
      <c r="V16" s="257"/>
      <c r="W16" s="257"/>
      <c r="X16" s="257"/>
      <c r="Y16" s="257"/>
      <c r="Z16" s="257"/>
      <c r="AA16" s="257"/>
      <c r="AB16" s="257"/>
      <c r="AC16" s="257"/>
      <c r="AD16" s="257"/>
      <c r="AE16" s="257"/>
      <c r="AF16" s="257"/>
      <c r="AG16" s="257"/>
      <c r="AH16" s="235"/>
      <c r="AI16" s="235"/>
      <c r="AJ16" s="235"/>
      <c r="AK16" s="235"/>
      <c r="AL16" s="235"/>
      <c r="AM16" s="235"/>
      <c r="AN16" s="236"/>
      <c r="AO16" s="256"/>
      <c r="AP16" s="257"/>
      <c r="AQ16" s="257"/>
      <c r="AR16" s="257"/>
      <c r="AS16" s="257"/>
      <c r="AT16" s="257"/>
      <c r="AU16" s="257"/>
      <c r="AV16" s="257"/>
      <c r="AW16" s="257"/>
      <c r="AX16" s="257"/>
      <c r="AY16" s="257"/>
      <c r="AZ16" s="257"/>
      <c r="BA16" s="257"/>
      <c r="BB16" s="257"/>
      <c r="BC16" s="257"/>
      <c r="BD16" s="257"/>
      <c r="BE16" s="257"/>
      <c r="BF16" s="257"/>
      <c r="BG16" s="257"/>
      <c r="BH16" s="257"/>
      <c r="BI16" s="257"/>
      <c r="BJ16" s="257"/>
      <c r="BK16" s="257"/>
    </row>
    <row r="17" spans="2:63">
      <c r="B17" s="232"/>
      <c r="C17" s="232"/>
      <c r="D17" s="217" t="s">
        <v>9</v>
      </c>
      <c r="E17" s="217"/>
      <c r="F17" s="217"/>
      <c r="G17" s="217"/>
      <c r="H17" s="217"/>
      <c r="I17" s="217"/>
      <c r="J17" s="219"/>
      <c r="K17" s="258" t="s">
        <v>94</v>
      </c>
      <c r="L17" s="251"/>
      <c r="M17" s="251"/>
      <c r="N17" s="251"/>
      <c r="O17" s="251"/>
      <c r="P17" s="251"/>
      <c r="Q17" s="251"/>
      <c r="R17" s="251"/>
      <c r="S17" s="251"/>
      <c r="T17" s="251"/>
      <c r="U17" s="251"/>
      <c r="V17" s="251"/>
      <c r="W17" s="251"/>
      <c r="X17" s="251"/>
      <c r="Y17" s="251"/>
      <c r="Z17" s="251"/>
      <c r="AA17" s="251"/>
      <c r="AB17" s="251"/>
      <c r="AC17" s="251"/>
      <c r="AD17" s="251"/>
      <c r="AE17" s="251"/>
      <c r="AF17" s="251"/>
      <c r="AG17" s="251"/>
      <c r="AH17" s="217" t="s">
        <v>10</v>
      </c>
      <c r="AI17" s="217"/>
      <c r="AJ17" s="217"/>
      <c r="AK17" s="217"/>
      <c r="AL17" s="217"/>
      <c r="AM17" s="217"/>
      <c r="AN17" s="219"/>
      <c r="AO17" s="258" t="s">
        <v>95</v>
      </c>
      <c r="AP17" s="251"/>
      <c r="AQ17" s="251"/>
      <c r="AR17" s="251"/>
      <c r="AS17" s="251"/>
      <c r="AT17" s="251"/>
      <c r="AU17" s="251"/>
      <c r="AV17" s="251"/>
      <c r="AW17" s="251"/>
      <c r="AX17" s="251"/>
      <c r="AY17" s="251"/>
      <c r="AZ17" s="251"/>
      <c r="BA17" s="251"/>
      <c r="BB17" s="251"/>
      <c r="BC17" s="251"/>
      <c r="BD17" s="251"/>
      <c r="BE17" s="251"/>
      <c r="BF17" s="251"/>
      <c r="BG17" s="251"/>
      <c r="BH17" s="251"/>
      <c r="BI17" s="251"/>
      <c r="BJ17" s="251"/>
      <c r="BK17" s="251"/>
    </row>
    <row r="18" spans="2:63">
      <c r="B18" s="232"/>
      <c r="C18" s="232"/>
      <c r="D18" s="217"/>
      <c r="E18" s="217"/>
      <c r="F18" s="217"/>
      <c r="G18" s="217"/>
      <c r="H18" s="217"/>
      <c r="I18" s="217"/>
      <c r="J18" s="219"/>
      <c r="K18" s="250"/>
      <c r="L18" s="251"/>
      <c r="M18" s="251"/>
      <c r="N18" s="251"/>
      <c r="O18" s="251"/>
      <c r="P18" s="251"/>
      <c r="Q18" s="251"/>
      <c r="R18" s="251"/>
      <c r="S18" s="251"/>
      <c r="T18" s="251"/>
      <c r="U18" s="251"/>
      <c r="V18" s="251"/>
      <c r="W18" s="251"/>
      <c r="X18" s="251"/>
      <c r="Y18" s="251"/>
      <c r="Z18" s="251"/>
      <c r="AA18" s="251"/>
      <c r="AB18" s="251"/>
      <c r="AC18" s="251"/>
      <c r="AD18" s="251"/>
      <c r="AE18" s="251"/>
      <c r="AF18" s="251"/>
      <c r="AG18" s="251"/>
      <c r="AH18" s="217"/>
      <c r="AI18" s="217"/>
      <c r="AJ18" s="217"/>
      <c r="AK18" s="217"/>
      <c r="AL18" s="217"/>
      <c r="AM18" s="217"/>
      <c r="AN18" s="219"/>
      <c r="AO18" s="250"/>
      <c r="AP18" s="251"/>
      <c r="AQ18" s="251"/>
      <c r="AR18" s="251"/>
      <c r="AS18" s="251"/>
      <c r="AT18" s="251"/>
      <c r="AU18" s="251"/>
      <c r="AV18" s="251"/>
      <c r="AW18" s="251"/>
      <c r="AX18" s="251"/>
      <c r="AY18" s="251"/>
      <c r="AZ18" s="251"/>
      <c r="BA18" s="251"/>
      <c r="BB18" s="251"/>
      <c r="BC18" s="251"/>
      <c r="BD18" s="251"/>
      <c r="BE18" s="251"/>
      <c r="BF18" s="251"/>
      <c r="BG18" s="251"/>
      <c r="BH18" s="251"/>
      <c r="BI18" s="251"/>
      <c r="BJ18" s="251"/>
      <c r="BK18" s="251"/>
    </row>
    <row r="19" spans="2:63">
      <c r="B19" s="232"/>
      <c r="C19" s="232"/>
      <c r="D19" s="217" t="s">
        <v>96</v>
      </c>
      <c r="E19" s="217"/>
      <c r="F19" s="217"/>
      <c r="G19" s="217"/>
      <c r="H19" s="217"/>
      <c r="I19" s="217"/>
      <c r="J19" s="219"/>
      <c r="K19" s="250" t="s">
        <v>97</v>
      </c>
      <c r="L19" s="251"/>
      <c r="M19" s="251"/>
      <c r="N19" s="251"/>
      <c r="O19" s="251"/>
      <c r="P19" s="251"/>
      <c r="Q19" s="251"/>
      <c r="R19" s="251"/>
      <c r="S19" s="251"/>
      <c r="T19" s="251"/>
      <c r="U19" s="251"/>
      <c r="V19" s="251"/>
      <c r="W19" s="251"/>
      <c r="X19" s="251"/>
      <c r="Y19" s="251"/>
      <c r="Z19" s="251"/>
      <c r="AA19" s="251"/>
      <c r="AB19" s="251"/>
      <c r="AC19" s="251"/>
      <c r="AD19" s="251"/>
      <c r="AE19" s="251"/>
      <c r="AF19" s="251"/>
      <c r="AG19" s="251"/>
      <c r="AH19" s="217" t="s">
        <v>98</v>
      </c>
      <c r="AI19" s="217"/>
      <c r="AJ19" s="217"/>
      <c r="AK19" s="217"/>
      <c r="AL19" s="217"/>
      <c r="AM19" s="217"/>
      <c r="AN19" s="219"/>
      <c r="AO19" s="250" t="s">
        <v>99</v>
      </c>
      <c r="AP19" s="251"/>
      <c r="AQ19" s="251"/>
      <c r="AR19" s="251"/>
      <c r="AS19" s="251"/>
      <c r="AT19" s="251"/>
      <c r="AU19" s="251"/>
      <c r="AV19" s="251"/>
      <c r="AW19" s="251"/>
      <c r="AX19" s="251"/>
      <c r="AY19" s="251"/>
      <c r="AZ19" s="251"/>
      <c r="BA19" s="251"/>
      <c r="BB19" s="251"/>
      <c r="BC19" s="251"/>
      <c r="BD19" s="251"/>
      <c r="BE19" s="251"/>
      <c r="BF19" s="251"/>
      <c r="BG19" s="251"/>
      <c r="BH19" s="251"/>
      <c r="BI19" s="251"/>
      <c r="BJ19" s="251"/>
      <c r="BK19" s="251"/>
    </row>
    <row r="20" spans="2:63">
      <c r="B20" s="232"/>
      <c r="C20" s="232"/>
      <c r="D20" s="217"/>
      <c r="E20" s="217"/>
      <c r="F20" s="217"/>
      <c r="G20" s="217"/>
      <c r="H20" s="217"/>
      <c r="I20" s="217"/>
      <c r="J20" s="219"/>
      <c r="K20" s="250"/>
      <c r="L20" s="251"/>
      <c r="M20" s="251"/>
      <c r="N20" s="251"/>
      <c r="O20" s="251"/>
      <c r="P20" s="251"/>
      <c r="Q20" s="251"/>
      <c r="R20" s="251"/>
      <c r="S20" s="251"/>
      <c r="T20" s="251"/>
      <c r="U20" s="251"/>
      <c r="V20" s="251"/>
      <c r="W20" s="251"/>
      <c r="X20" s="251"/>
      <c r="Y20" s="251"/>
      <c r="Z20" s="251"/>
      <c r="AA20" s="251"/>
      <c r="AB20" s="251"/>
      <c r="AC20" s="251"/>
      <c r="AD20" s="251"/>
      <c r="AE20" s="251"/>
      <c r="AF20" s="251"/>
      <c r="AG20" s="251"/>
      <c r="AH20" s="217"/>
      <c r="AI20" s="217"/>
      <c r="AJ20" s="217"/>
      <c r="AK20" s="217"/>
      <c r="AL20" s="217"/>
      <c r="AM20" s="217"/>
      <c r="AN20" s="219"/>
      <c r="AO20" s="250"/>
      <c r="AP20" s="251"/>
      <c r="AQ20" s="251"/>
      <c r="AR20" s="251"/>
      <c r="AS20" s="251"/>
      <c r="AT20" s="251"/>
      <c r="AU20" s="251"/>
      <c r="AV20" s="251"/>
      <c r="AW20" s="251"/>
      <c r="AX20" s="251"/>
      <c r="AY20" s="251"/>
      <c r="AZ20" s="251"/>
      <c r="BA20" s="251"/>
      <c r="BB20" s="251"/>
      <c r="BC20" s="251"/>
      <c r="BD20" s="251"/>
      <c r="BE20" s="251"/>
      <c r="BF20" s="251"/>
      <c r="BG20" s="251"/>
      <c r="BH20" s="251"/>
      <c r="BI20" s="251"/>
      <c r="BJ20" s="251"/>
      <c r="BK20" s="251"/>
    </row>
    <row r="22" spans="2:63">
      <c r="B22" s="232" t="s">
        <v>43</v>
      </c>
      <c r="C22" s="232"/>
      <c r="D22" s="217" t="s">
        <v>44</v>
      </c>
      <c r="E22" s="217"/>
      <c r="F22" s="217"/>
      <c r="G22" s="217"/>
      <c r="H22" s="217"/>
      <c r="I22" s="217"/>
      <c r="J22" s="219"/>
      <c r="K22" s="180" t="s">
        <v>45</v>
      </c>
      <c r="L22" s="163"/>
      <c r="M22" s="163"/>
      <c r="N22" s="163"/>
      <c r="O22" s="163"/>
      <c r="P22" s="163"/>
      <c r="Q22" s="163"/>
      <c r="R22" s="163"/>
      <c r="S22" s="163"/>
      <c r="T22" s="163"/>
      <c r="U22" s="163"/>
      <c r="V22" s="163"/>
      <c r="W22" s="163"/>
      <c r="X22" s="217" t="s">
        <v>46</v>
      </c>
      <c r="Y22" s="217"/>
      <c r="Z22" s="217"/>
      <c r="AA22" s="217"/>
      <c r="AB22" s="217"/>
      <c r="AC22" s="217"/>
      <c r="AD22" s="218"/>
      <c r="AE22" s="157" t="s">
        <v>47</v>
      </c>
      <c r="AF22" s="163"/>
      <c r="AG22" s="163"/>
      <c r="AH22" s="163"/>
      <c r="AI22" s="163"/>
      <c r="AJ22" s="163"/>
      <c r="AK22" s="163"/>
      <c r="AL22" s="163"/>
      <c r="AM22" s="163"/>
      <c r="AN22" s="163"/>
      <c r="AO22" s="163"/>
      <c r="AP22" s="163"/>
      <c r="AQ22" s="163"/>
      <c r="AR22" s="219" t="s">
        <v>48</v>
      </c>
      <c r="AS22" s="220"/>
      <c r="AT22" s="220"/>
      <c r="AU22" s="220"/>
      <c r="AV22" s="220"/>
      <c r="AW22" s="220"/>
      <c r="AX22" s="220"/>
      <c r="AY22" s="156" t="s">
        <v>113</v>
      </c>
      <c r="AZ22" s="156"/>
      <c r="BA22" s="156"/>
      <c r="BB22" s="156"/>
      <c r="BC22" s="156"/>
      <c r="BD22" s="156"/>
      <c r="BE22" s="156"/>
      <c r="BF22" s="156"/>
      <c r="BG22" s="156"/>
      <c r="BH22" s="156"/>
      <c r="BI22" s="156"/>
      <c r="BJ22" s="156"/>
      <c r="BK22" s="157"/>
    </row>
    <row r="23" spans="2:63">
      <c r="B23" s="232"/>
      <c r="C23" s="232"/>
      <c r="D23" s="217"/>
      <c r="E23" s="217"/>
      <c r="F23" s="217"/>
      <c r="G23" s="217"/>
      <c r="H23" s="217"/>
      <c r="I23" s="217"/>
      <c r="J23" s="219"/>
      <c r="K23" s="180"/>
      <c r="L23" s="163"/>
      <c r="M23" s="163"/>
      <c r="N23" s="163"/>
      <c r="O23" s="163"/>
      <c r="P23" s="163"/>
      <c r="Q23" s="163"/>
      <c r="R23" s="163"/>
      <c r="S23" s="163"/>
      <c r="T23" s="163"/>
      <c r="U23" s="163"/>
      <c r="V23" s="163"/>
      <c r="W23" s="163"/>
      <c r="X23" s="217"/>
      <c r="Y23" s="217"/>
      <c r="Z23" s="217"/>
      <c r="AA23" s="217"/>
      <c r="AB23" s="217"/>
      <c r="AC23" s="217"/>
      <c r="AD23" s="218"/>
      <c r="AE23" s="157"/>
      <c r="AF23" s="163"/>
      <c r="AG23" s="163"/>
      <c r="AH23" s="163"/>
      <c r="AI23" s="163"/>
      <c r="AJ23" s="163"/>
      <c r="AK23" s="163"/>
      <c r="AL23" s="163"/>
      <c r="AM23" s="163"/>
      <c r="AN23" s="163"/>
      <c r="AO23" s="163"/>
      <c r="AP23" s="163"/>
      <c r="AQ23" s="163"/>
      <c r="AR23" s="219"/>
      <c r="AS23" s="220"/>
      <c r="AT23" s="220"/>
      <c r="AU23" s="220"/>
      <c r="AV23" s="220"/>
      <c r="AW23" s="220"/>
      <c r="AX23" s="220"/>
      <c r="AY23" s="156"/>
      <c r="AZ23" s="156"/>
      <c r="BA23" s="156"/>
      <c r="BB23" s="156"/>
      <c r="BC23" s="156"/>
      <c r="BD23" s="156"/>
      <c r="BE23" s="156"/>
      <c r="BF23" s="156"/>
      <c r="BG23" s="156"/>
      <c r="BH23" s="156"/>
      <c r="BI23" s="156"/>
      <c r="BJ23" s="156"/>
      <c r="BK23" s="157"/>
    </row>
    <row r="24" spans="2:63">
      <c r="B24" s="232"/>
      <c r="C24" s="232"/>
      <c r="D24" s="217" t="s">
        <v>50</v>
      </c>
      <c r="E24" s="217"/>
      <c r="F24" s="217"/>
      <c r="G24" s="217"/>
      <c r="H24" s="217"/>
      <c r="I24" s="217"/>
      <c r="J24" s="219"/>
      <c r="K24" s="180" t="s">
        <v>100</v>
      </c>
      <c r="L24" s="163"/>
      <c r="M24" s="163"/>
      <c r="N24" s="163"/>
      <c r="O24" s="163"/>
      <c r="P24" s="163"/>
      <c r="Q24" s="163"/>
      <c r="R24" s="163"/>
      <c r="S24" s="163"/>
      <c r="T24" s="163"/>
      <c r="U24" s="163"/>
      <c r="V24" s="163"/>
      <c r="W24" s="163"/>
      <c r="X24" s="217" t="s">
        <v>52</v>
      </c>
      <c r="Y24" s="217"/>
      <c r="Z24" s="217"/>
      <c r="AA24" s="217"/>
      <c r="AB24" s="217"/>
      <c r="AC24" s="217"/>
      <c r="AD24" s="218"/>
      <c r="AE24" s="157" t="s">
        <v>101</v>
      </c>
      <c r="AF24" s="163"/>
      <c r="AG24" s="163"/>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c r="BI24" s="163"/>
      <c r="BJ24" s="163"/>
      <c r="BK24" s="163"/>
    </row>
    <row r="25" spans="2:63">
      <c r="B25" s="232"/>
      <c r="C25" s="232"/>
      <c r="D25" s="217"/>
      <c r="E25" s="217"/>
      <c r="F25" s="217"/>
      <c r="G25" s="217"/>
      <c r="H25" s="217"/>
      <c r="I25" s="217"/>
      <c r="J25" s="219"/>
      <c r="K25" s="180"/>
      <c r="L25" s="163"/>
      <c r="M25" s="163"/>
      <c r="N25" s="163"/>
      <c r="O25" s="163"/>
      <c r="P25" s="163"/>
      <c r="Q25" s="163"/>
      <c r="R25" s="163"/>
      <c r="S25" s="163"/>
      <c r="T25" s="163"/>
      <c r="U25" s="163"/>
      <c r="V25" s="163"/>
      <c r="W25" s="163"/>
      <c r="X25" s="217"/>
      <c r="Y25" s="217"/>
      <c r="Z25" s="217"/>
      <c r="AA25" s="217"/>
      <c r="AB25" s="217"/>
      <c r="AC25" s="217"/>
      <c r="AD25" s="218"/>
      <c r="AE25" s="157"/>
      <c r="AF25" s="163"/>
      <c r="AG25" s="163"/>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c r="BI25" s="163"/>
      <c r="BJ25" s="163"/>
      <c r="BK25" s="163"/>
    </row>
    <row r="26" spans="2:63">
      <c r="B26" s="232"/>
      <c r="C26" s="232"/>
      <c r="D26" s="223" t="s">
        <v>54</v>
      </c>
      <c r="E26" s="224"/>
      <c r="F26" s="224"/>
      <c r="G26" s="224"/>
      <c r="H26" s="224"/>
      <c r="I26" s="224"/>
      <c r="J26" s="224"/>
      <c r="K26" s="246" t="s">
        <v>102</v>
      </c>
      <c r="L26" s="246"/>
      <c r="M26" s="246"/>
      <c r="N26" s="246"/>
      <c r="O26" s="246"/>
      <c r="P26" s="246"/>
      <c r="Q26" s="246"/>
      <c r="R26" s="246"/>
      <c r="S26" s="246"/>
      <c r="T26" s="246"/>
      <c r="U26" s="246"/>
      <c r="V26" s="246"/>
      <c r="W26" s="247"/>
      <c r="X26" s="217" t="s">
        <v>55</v>
      </c>
      <c r="Y26" s="217"/>
      <c r="Z26" s="217"/>
      <c r="AA26" s="217"/>
      <c r="AB26" s="217"/>
      <c r="AC26" s="217"/>
      <c r="AD26" s="219"/>
      <c r="AE26" s="180" t="s">
        <v>79</v>
      </c>
      <c r="AF26" s="163"/>
      <c r="AG26" s="163"/>
      <c r="AH26" s="163"/>
      <c r="AI26" s="163"/>
      <c r="AJ26" s="163"/>
      <c r="AK26" s="163"/>
      <c r="AL26" s="163"/>
      <c r="AM26" s="163"/>
      <c r="AN26" s="163"/>
      <c r="AO26" s="163"/>
      <c r="AP26" s="163"/>
      <c r="AQ26" s="163"/>
      <c r="AR26" s="217" t="s">
        <v>56</v>
      </c>
      <c r="AS26" s="217"/>
      <c r="AT26" s="217"/>
      <c r="AU26" s="217"/>
      <c r="AV26" s="217"/>
      <c r="AW26" s="217"/>
      <c r="AX26" s="219"/>
      <c r="AY26" s="180" t="s">
        <v>80</v>
      </c>
      <c r="AZ26" s="163"/>
      <c r="BA26" s="163"/>
      <c r="BB26" s="163"/>
      <c r="BC26" s="163"/>
      <c r="BD26" s="163"/>
      <c r="BE26" s="163"/>
      <c r="BF26" s="163"/>
      <c r="BG26" s="163"/>
      <c r="BH26" s="163"/>
      <c r="BI26" s="163"/>
      <c r="BJ26" s="163"/>
      <c r="BK26" s="163"/>
    </row>
    <row r="27" spans="2:63">
      <c r="B27" s="232"/>
      <c r="C27" s="232"/>
      <c r="D27" s="225"/>
      <c r="E27" s="216"/>
      <c r="F27" s="216"/>
      <c r="G27" s="216"/>
      <c r="H27" s="216"/>
      <c r="I27" s="216"/>
      <c r="J27" s="216"/>
      <c r="K27" s="248"/>
      <c r="L27" s="248"/>
      <c r="M27" s="248"/>
      <c r="N27" s="248"/>
      <c r="O27" s="248"/>
      <c r="P27" s="248"/>
      <c r="Q27" s="248"/>
      <c r="R27" s="248"/>
      <c r="S27" s="248"/>
      <c r="T27" s="248"/>
      <c r="U27" s="248"/>
      <c r="V27" s="248"/>
      <c r="W27" s="249"/>
      <c r="X27" s="217"/>
      <c r="Y27" s="217"/>
      <c r="Z27" s="217"/>
      <c r="AA27" s="217"/>
      <c r="AB27" s="217"/>
      <c r="AC27" s="217"/>
      <c r="AD27" s="219"/>
      <c r="AE27" s="180"/>
      <c r="AF27" s="163"/>
      <c r="AG27" s="163"/>
      <c r="AH27" s="163"/>
      <c r="AI27" s="163"/>
      <c r="AJ27" s="163"/>
      <c r="AK27" s="163"/>
      <c r="AL27" s="163"/>
      <c r="AM27" s="163"/>
      <c r="AN27" s="163"/>
      <c r="AO27" s="163"/>
      <c r="AP27" s="163"/>
      <c r="AQ27" s="163"/>
      <c r="AR27" s="217"/>
      <c r="AS27" s="217"/>
      <c r="AT27" s="217"/>
      <c r="AU27" s="217"/>
      <c r="AV27" s="217"/>
      <c r="AW27" s="217"/>
      <c r="AX27" s="219"/>
      <c r="AY27" s="180"/>
      <c r="AZ27" s="163"/>
      <c r="BA27" s="163"/>
      <c r="BB27" s="163"/>
      <c r="BC27" s="163"/>
      <c r="BD27" s="163"/>
      <c r="BE27" s="163"/>
      <c r="BF27" s="163"/>
      <c r="BG27" s="163"/>
      <c r="BH27" s="163"/>
      <c r="BI27" s="163"/>
      <c r="BJ27" s="163"/>
      <c r="BK27" s="163"/>
    </row>
    <row r="28" spans="2:63">
      <c r="B28" s="232"/>
      <c r="C28" s="232"/>
      <c r="D28" s="228" t="s">
        <v>57</v>
      </c>
      <c r="E28" s="229"/>
      <c r="F28" s="216" t="s">
        <v>58</v>
      </c>
      <c r="G28" s="216"/>
      <c r="H28" s="216"/>
      <c r="I28" s="216"/>
      <c r="J28" s="216"/>
      <c r="K28" s="216"/>
      <c r="L28" s="216"/>
      <c r="M28" s="205" t="s">
        <v>81</v>
      </c>
      <c r="N28" s="205"/>
      <c r="O28" s="205"/>
      <c r="P28" s="205"/>
      <c r="Q28" s="205"/>
      <c r="R28" s="205"/>
      <c r="S28" s="205"/>
      <c r="T28" s="205"/>
      <c r="U28" s="205"/>
      <c r="V28" s="205"/>
      <c r="W28" s="206"/>
    </row>
    <row r="29" spans="2:63">
      <c r="B29" s="232"/>
      <c r="C29" s="232"/>
      <c r="D29" s="228"/>
      <c r="E29" s="229"/>
      <c r="F29" s="216"/>
      <c r="G29" s="216"/>
      <c r="H29" s="216"/>
      <c r="I29" s="216"/>
      <c r="J29" s="216"/>
      <c r="K29" s="216"/>
      <c r="L29" s="216"/>
      <c r="M29" s="205"/>
      <c r="N29" s="205"/>
      <c r="O29" s="205"/>
      <c r="P29" s="205"/>
      <c r="Q29" s="205"/>
      <c r="R29" s="205"/>
      <c r="S29" s="205"/>
      <c r="T29" s="205"/>
      <c r="U29" s="205"/>
      <c r="V29" s="205"/>
      <c r="W29" s="206"/>
      <c r="Y29" s="155" t="s">
        <v>103</v>
      </c>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row>
    <row r="30" spans="2:63">
      <c r="B30" s="232"/>
      <c r="C30" s="232"/>
      <c r="D30" s="228"/>
      <c r="E30" s="229"/>
      <c r="F30" s="216" t="s">
        <v>60</v>
      </c>
      <c r="G30" s="216"/>
      <c r="H30" s="216"/>
      <c r="I30" s="216"/>
      <c r="J30" s="216"/>
      <c r="K30" s="216"/>
      <c r="L30" s="216"/>
      <c r="M30" s="205" t="s">
        <v>82</v>
      </c>
      <c r="N30" s="205"/>
      <c r="O30" s="205"/>
      <c r="P30" s="205"/>
      <c r="Q30" s="205"/>
      <c r="R30" s="205"/>
      <c r="S30" s="205"/>
      <c r="T30" s="205"/>
      <c r="U30" s="205"/>
      <c r="V30" s="205"/>
      <c r="W30" s="206"/>
      <c r="Y30" s="155" t="s">
        <v>104</v>
      </c>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row>
    <row r="31" spans="2:63">
      <c r="B31" s="232"/>
      <c r="C31" s="232"/>
      <c r="D31" s="228"/>
      <c r="E31" s="229"/>
      <c r="F31" s="216"/>
      <c r="G31" s="216"/>
      <c r="H31" s="216"/>
      <c r="I31" s="216"/>
      <c r="J31" s="216"/>
      <c r="K31" s="216"/>
      <c r="L31" s="216"/>
      <c r="M31" s="205"/>
      <c r="N31" s="205"/>
      <c r="O31" s="205"/>
      <c r="P31" s="205"/>
      <c r="Q31" s="205"/>
      <c r="R31" s="205"/>
      <c r="S31" s="205"/>
      <c r="T31" s="205"/>
      <c r="U31" s="205"/>
      <c r="V31" s="205"/>
      <c r="W31" s="206"/>
      <c r="Y31" s="155" t="s">
        <v>112</v>
      </c>
      <c r="Z31" s="155"/>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row>
    <row r="32" spans="2:63">
      <c r="B32" s="232"/>
      <c r="C32" s="232"/>
      <c r="D32" s="228"/>
      <c r="E32" s="229"/>
      <c r="F32" s="216" t="s">
        <v>63</v>
      </c>
      <c r="G32" s="216"/>
      <c r="H32" s="216"/>
      <c r="I32" s="216"/>
      <c r="J32" s="216"/>
      <c r="K32" s="216"/>
      <c r="L32" s="216"/>
      <c r="M32" s="205" t="s">
        <v>83</v>
      </c>
      <c r="N32" s="205"/>
      <c r="O32" s="205"/>
      <c r="P32" s="205"/>
      <c r="Q32" s="205"/>
      <c r="R32" s="205"/>
      <c r="S32" s="205"/>
      <c r="T32" s="205"/>
      <c r="U32" s="205"/>
      <c r="V32" s="205"/>
      <c r="W32" s="206"/>
      <c r="Y32" s="155" t="s">
        <v>111</v>
      </c>
      <c r="Z32" s="155"/>
      <c r="AA32" s="155"/>
      <c r="AB32" s="155"/>
      <c r="AC32" s="155"/>
      <c r="AD32" s="155"/>
      <c r="AE32" s="155"/>
      <c r="AF32" s="155"/>
      <c r="AG32" s="155"/>
      <c r="AH32" s="155"/>
      <c r="AI32" s="155"/>
      <c r="AJ32" s="155"/>
      <c r="AK32" s="155"/>
      <c r="AL32" s="155"/>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row>
    <row r="33" spans="2:63">
      <c r="B33" s="232"/>
      <c r="C33" s="232"/>
      <c r="D33" s="228"/>
      <c r="E33" s="229"/>
      <c r="F33" s="216"/>
      <c r="G33" s="216"/>
      <c r="H33" s="216"/>
      <c r="I33" s="216"/>
      <c r="J33" s="216"/>
      <c r="K33" s="216"/>
      <c r="L33" s="216"/>
      <c r="M33" s="205"/>
      <c r="N33" s="205"/>
      <c r="O33" s="205"/>
      <c r="P33" s="205"/>
      <c r="Q33" s="205"/>
      <c r="R33" s="205"/>
      <c r="S33" s="205"/>
      <c r="T33" s="205"/>
      <c r="U33" s="205"/>
      <c r="V33" s="205"/>
      <c r="W33" s="206"/>
      <c r="Y33" s="155" t="s">
        <v>105</v>
      </c>
      <c r="Z33" s="155"/>
      <c r="AA33" s="155"/>
      <c r="AB33" s="155"/>
      <c r="AC33" s="155"/>
      <c r="AD33" s="155"/>
      <c r="AE33" s="155"/>
      <c r="AF33" s="155"/>
      <c r="AG33" s="155"/>
      <c r="AH33" s="155"/>
      <c r="AI33" s="155"/>
      <c r="AJ33" s="155"/>
      <c r="AK33" s="155"/>
      <c r="AL33" s="155"/>
      <c r="AM33" s="155"/>
      <c r="AN33" s="155"/>
      <c r="AO33" s="155"/>
      <c r="AP33" s="155"/>
      <c r="AQ33" s="155"/>
      <c r="AR33" s="155"/>
      <c r="AS33" s="155"/>
      <c r="AT33" s="155"/>
      <c r="AU33" s="155"/>
      <c r="AV33" s="155"/>
      <c r="AW33" s="155"/>
      <c r="AX33" s="155"/>
      <c r="AY33" s="155"/>
      <c r="AZ33" s="155"/>
      <c r="BA33" s="155"/>
      <c r="BB33" s="155"/>
      <c r="BC33" s="155"/>
      <c r="BD33" s="155"/>
      <c r="BE33" s="155"/>
      <c r="BF33" s="155"/>
      <c r="BG33" s="155"/>
      <c r="BH33" s="155"/>
      <c r="BI33" s="155"/>
      <c r="BJ33" s="155"/>
      <c r="BK33" s="155"/>
    </row>
    <row r="34" spans="2:63">
      <c r="B34" s="232"/>
      <c r="C34" s="232"/>
      <c r="D34" s="228"/>
      <c r="E34" s="229"/>
      <c r="F34" s="252" t="s">
        <v>106</v>
      </c>
      <c r="G34" s="252"/>
      <c r="H34" s="252"/>
      <c r="I34" s="252"/>
      <c r="J34" s="252"/>
      <c r="K34" s="252"/>
      <c r="L34" s="252"/>
      <c r="M34" s="240" t="s">
        <v>107</v>
      </c>
      <c r="N34" s="241"/>
      <c r="O34" s="241"/>
      <c r="P34" s="241"/>
      <c r="Q34" s="241"/>
      <c r="R34" s="241"/>
      <c r="S34" s="241"/>
      <c r="T34" s="241"/>
      <c r="U34" s="241"/>
      <c r="V34" s="241"/>
      <c r="W34" s="242"/>
      <c r="Y34" s="155" t="s">
        <v>108</v>
      </c>
      <c r="Z34" s="155"/>
      <c r="AA34" s="155"/>
      <c r="AB34" s="155"/>
      <c r="AC34" s="155"/>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row>
    <row r="35" spans="2:63">
      <c r="B35" s="232"/>
      <c r="C35" s="232"/>
      <c r="D35" s="230"/>
      <c r="E35" s="231"/>
      <c r="F35" s="253"/>
      <c r="G35" s="253"/>
      <c r="H35" s="253"/>
      <c r="I35" s="253"/>
      <c r="J35" s="253"/>
      <c r="K35" s="253"/>
      <c r="L35" s="253"/>
      <c r="M35" s="243"/>
      <c r="N35" s="243"/>
      <c r="O35" s="243"/>
      <c r="P35" s="243"/>
      <c r="Q35" s="243"/>
      <c r="R35" s="243"/>
      <c r="S35" s="243"/>
      <c r="T35" s="243"/>
      <c r="U35" s="243"/>
      <c r="V35" s="243"/>
      <c r="W35" s="244"/>
    </row>
    <row r="36" spans="2:63">
      <c r="Y36" s="245" t="s">
        <v>109</v>
      </c>
      <c r="Z36" s="152"/>
      <c r="AA36" s="152"/>
      <c r="AB36" s="152"/>
      <c r="AC36" s="152"/>
      <c r="AD36" s="152"/>
      <c r="AE36" s="152"/>
      <c r="AF36" s="152"/>
      <c r="AG36" s="152"/>
      <c r="AH36" s="152"/>
      <c r="AI36" s="152"/>
      <c r="AJ36" s="152"/>
      <c r="AK36" s="152"/>
      <c r="AL36" s="152"/>
      <c r="AM36" s="152"/>
      <c r="AN36" s="152"/>
      <c r="AO36" s="152"/>
      <c r="AP36" s="152"/>
      <c r="AQ36" s="152"/>
      <c r="AR36" s="153" t="s">
        <v>110</v>
      </c>
      <c r="AS36" s="153"/>
      <c r="AT36" s="153"/>
      <c r="AU36" s="153"/>
      <c r="AV36" s="153"/>
      <c r="AW36" s="153"/>
      <c r="AX36" s="153"/>
      <c r="AY36" s="153"/>
      <c r="AZ36" s="153"/>
      <c r="BA36" s="153"/>
      <c r="BB36" s="153"/>
      <c r="BC36" s="153"/>
      <c r="BD36" s="153"/>
      <c r="BE36" s="153"/>
      <c r="BF36" s="153"/>
      <c r="BG36" s="153"/>
      <c r="BH36" s="153"/>
      <c r="BI36" s="153"/>
      <c r="BJ36" s="153"/>
      <c r="BK36" s="18"/>
    </row>
    <row r="37" spans="2:63">
      <c r="H37" s="154" t="s">
        <v>68</v>
      </c>
      <c r="I37" s="154"/>
      <c r="J37" s="154"/>
      <c r="Y37" s="152"/>
      <c r="Z37" s="152"/>
      <c r="AA37" s="152"/>
      <c r="AB37" s="152"/>
      <c r="AC37" s="152"/>
      <c r="AD37" s="152"/>
      <c r="AE37" s="152"/>
      <c r="AF37" s="152"/>
      <c r="AG37" s="152"/>
      <c r="AH37" s="152"/>
      <c r="AI37" s="152"/>
      <c r="AJ37" s="152"/>
      <c r="AK37" s="152"/>
      <c r="AL37" s="152"/>
      <c r="AM37" s="152"/>
      <c r="AN37" s="152"/>
      <c r="AO37" s="152"/>
      <c r="AP37" s="152"/>
      <c r="AQ37" s="152"/>
      <c r="AR37" s="153"/>
      <c r="AS37" s="153"/>
      <c r="AT37" s="153"/>
      <c r="AU37" s="153"/>
      <c r="AV37" s="153"/>
      <c r="AW37" s="153"/>
      <c r="AX37" s="153"/>
      <c r="AY37" s="153"/>
      <c r="AZ37" s="153"/>
      <c r="BA37" s="153"/>
      <c r="BB37" s="153"/>
      <c r="BC37" s="153"/>
      <c r="BD37" s="153"/>
      <c r="BE37" s="153"/>
      <c r="BF37" s="153"/>
      <c r="BG37" s="153"/>
      <c r="BH37" s="153"/>
      <c r="BI37" s="153"/>
      <c r="BJ37" s="153"/>
      <c r="BK37" s="18"/>
    </row>
    <row r="38" spans="2:63">
      <c r="Y38" s="152"/>
      <c r="Z38" s="152"/>
      <c r="AA38" s="152"/>
      <c r="AB38" s="152"/>
      <c r="AC38" s="152"/>
      <c r="AD38" s="152"/>
      <c r="AE38" s="152"/>
      <c r="AF38" s="152"/>
      <c r="AG38" s="152"/>
      <c r="AH38" s="152"/>
      <c r="AI38" s="152"/>
      <c r="AJ38" s="152"/>
      <c r="AK38" s="152"/>
      <c r="AL38" s="152"/>
      <c r="AM38" s="152"/>
      <c r="AN38" s="152"/>
      <c r="AO38" s="152"/>
      <c r="AP38" s="152"/>
      <c r="AQ38" s="152"/>
      <c r="AR38" s="153"/>
      <c r="AS38" s="153"/>
      <c r="AT38" s="153"/>
      <c r="AU38" s="153"/>
      <c r="AV38" s="153"/>
      <c r="AW38" s="153"/>
      <c r="AX38" s="153"/>
      <c r="AY38" s="153"/>
      <c r="AZ38" s="153"/>
      <c r="BA38" s="153"/>
      <c r="BB38" s="153"/>
      <c r="BC38" s="153"/>
      <c r="BD38" s="153"/>
      <c r="BE38" s="153"/>
      <c r="BF38" s="153"/>
      <c r="BG38" s="153"/>
      <c r="BH38" s="153"/>
      <c r="BI38" s="153"/>
      <c r="BJ38" s="153"/>
      <c r="BK38" s="18"/>
    </row>
    <row r="39" spans="2:63">
      <c r="Y39" s="152"/>
      <c r="Z39" s="152"/>
      <c r="AA39" s="152"/>
      <c r="AB39" s="152"/>
      <c r="AC39" s="152"/>
      <c r="AD39" s="152"/>
      <c r="AE39" s="152"/>
      <c r="AF39" s="152"/>
      <c r="AG39" s="152"/>
      <c r="AH39" s="152"/>
      <c r="AI39" s="152"/>
      <c r="AJ39" s="152"/>
      <c r="AK39" s="152"/>
      <c r="AL39" s="152"/>
      <c r="AM39" s="152"/>
      <c r="AN39" s="152"/>
      <c r="AO39" s="152"/>
      <c r="AP39" s="152"/>
      <c r="AQ39" s="152"/>
      <c r="AR39" s="153"/>
      <c r="AS39" s="153"/>
      <c r="AT39" s="153"/>
      <c r="AU39" s="153"/>
      <c r="AV39" s="153"/>
      <c r="AW39" s="153"/>
      <c r="AX39" s="153"/>
      <c r="AY39" s="153"/>
      <c r="AZ39" s="153"/>
      <c r="BA39" s="153"/>
      <c r="BB39" s="153"/>
      <c r="BC39" s="153"/>
      <c r="BD39" s="153"/>
      <c r="BE39" s="153"/>
      <c r="BF39" s="153"/>
      <c r="BG39" s="153"/>
      <c r="BH39" s="153"/>
      <c r="BI39" s="153"/>
      <c r="BJ39" s="153"/>
    </row>
  </sheetData>
  <mergeCells count="73">
    <mergeCell ref="B1:U2"/>
    <mergeCell ref="Z2:AC2"/>
    <mergeCell ref="AD2:AF2"/>
    <mergeCell ref="AH2:AJ2"/>
    <mergeCell ref="AL2:AN2"/>
    <mergeCell ref="AO4:AQ4"/>
    <mergeCell ref="AS4:AU4"/>
    <mergeCell ref="AW4:AY4"/>
    <mergeCell ref="B5:C20"/>
    <mergeCell ref="D5:J5"/>
    <mergeCell ref="K5:BE5"/>
    <mergeCell ref="D11:J13"/>
    <mergeCell ref="K11:BK13"/>
    <mergeCell ref="D14:J14"/>
    <mergeCell ref="K14:AG14"/>
    <mergeCell ref="B4:V4"/>
    <mergeCell ref="AK4:AN4"/>
    <mergeCell ref="BF5:BK10"/>
    <mergeCell ref="D6:J7"/>
    <mergeCell ref="K6:BE7"/>
    <mergeCell ref="D8:J8"/>
    <mergeCell ref="K8:BE8"/>
    <mergeCell ref="D9:J10"/>
    <mergeCell ref="K9:BE10"/>
    <mergeCell ref="AH14:AN14"/>
    <mergeCell ref="AO14:BK14"/>
    <mergeCell ref="D15:J16"/>
    <mergeCell ref="K15:AG16"/>
    <mergeCell ref="AH15:AN16"/>
    <mergeCell ref="AO15:BK16"/>
    <mergeCell ref="D17:J18"/>
    <mergeCell ref="K17:AG18"/>
    <mergeCell ref="AH17:AN18"/>
    <mergeCell ref="AO17:BK18"/>
    <mergeCell ref="D19:J20"/>
    <mergeCell ref="K19:AG20"/>
    <mergeCell ref="AH19:AN20"/>
    <mergeCell ref="AO19:BK20"/>
    <mergeCell ref="B22:C35"/>
    <mergeCell ref="D22:J23"/>
    <mergeCell ref="K22:W23"/>
    <mergeCell ref="X22:AD23"/>
    <mergeCell ref="AE22:AQ23"/>
    <mergeCell ref="M32:W33"/>
    <mergeCell ref="Y32:BK32"/>
    <mergeCell ref="Y33:BK33"/>
    <mergeCell ref="F34:L35"/>
    <mergeCell ref="AY22:BK23"/>
    <mergeCell ref="D24:J25"/>
    <mergeCell ref="K24:W25"/>
    <mergeCell ref="X24:AD25"/>
    <mergeCell ref="AE24:BK25"/>
    <mergeCell ref="AR22:AX23"/>
    <mergeCell ref="AY26:BK27"/>
    <mergeCell ref="D28:E35"/>
    <mergeCell ref="F28:L29"/>
    <mergeCell ref="M28:W29"/>
    <mergeCell ref="Y29:BK29"/>
    <mergeCell ref="F30:L31"/>
    <mergeCell ref="M30:W31"/>
    <mergeCell ref="Y30:BK30"/>
    <mergeCell ref="Y31:BK31"/>
    <mergeCell ref="F32:L33"/>
    <mergeCell ref="D26:J27"/>
    <mergeCell ref="K26:W27"/>
    <mergeCell ref="X26:AD27"/>
    <mergeCell ref="H37:J37"/>
    <mergeCell ref="AE26:AQ27"/>
    <mergeCell ref="AR26:AX27"/>
    <mergeCell ref="M34:W35"/>
    <mergeCell ref="Y34:BK34"/>
    <mergeCell ref="Y36:AQ39"/>
    <mergeCell ref="AR36:BJ39"/>
  </mergeCells>
  <phoneticPr fontId="1"/>
  <printOptions horizontalCentered="1" verticalCentered="1"/>
  <pageMargins left="0.23622047244094491" right="0.23622047244094491" top="0.74803149606299213" bottom="0.74803149606299213" header="0.31496062992125984" footer="0.31496062992125984"/>
  <pageSetup paperSize="9" scale="86" orientation="landscape"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B1:BK38"/>
  <sheetViews>
    <sheetView view="pageBreakPreview" topLeftCell="A13" zoomScaleNormal="100" zoomScaleSheetLayoutView="100" workbookViewId="0">
      <selection activeCell="V47" sqref="V46:W47"/>
    </sheetView>
  </sheetViews>
  <sheetFormatPr baseColWidth="10" defaultColWidth="9" defaultRowHeight="16"/>
  <cols>
    <col min="1" max="69" width="2.1640625" style="17" customWidth="1"/>
    <col min="70" max="16384" width="9" style="17"/>
  </cols>
  <sheetData>
    <row r="1" spans="2:63">
      <c r="B1" s="210" t="s">
        <v>69</v>
      </c>
      <c r="C1" s="210"/>
      <c r="D1" s="210"/>
      <c r="E1" s="210"/>
      <c r="F1" s="210"/>
      <c r="G1" s="210"/>
      <c r="H1" s="210"/>
      <c r="I1" s="210"/>
      <c r="J1" s="210"/>
      <c r="K1" s="210"/>
      <c r="L1" s="210"/>
      <c r="M1" s="210"/>
      <c r="N1" s="210"/>
      <c r="O1" s="210"/>
      <c r="P1" s="210"/>
      <c r="Q1" s="210"/>
      <c r="R1" s="210"/>
      <c r="S1" s="210"/>
      <c r="T1" s="210"/>
      <c r="U1" s="210"/>
    </row>
    <row r="2" spans="2:63">
      <c r="B2" s="210"/>
      <c r="C2" s="210"/>
      <c r="D2" s="210"/>
      <c r="E2" s="210"/>
      <c r="F2" s="210"/>
      <c r="G2" s="210"/>
      <c r="H2" s="210"/>
      <c r="I2" s="210"/>
      <c r="J2" s="210"/>
      <c r="K2" s="210"/>
      <c r="L2" s="210"/>
      <c r="M2" s="210"/>
      <c r="N2" s="210"/>
      <c r="O2" s="210"/>
      <c r="P2" s="210"/>
      <c r="Q2" s="210"/>
      <c r="R2" s="210"/>
      <c r="S2" s="210"/>
      <c r="T2" s="210"/>
      <c r="U2" s="210"/>
      <c r="Z2" s="193"/>
      <c r="AA2" s="193"/>
      <c r="AB2" s="193"/>
      <c r="AC2" s="193"/>
      <c r="AD2" s="193"/>
      <c r="AE2" s="193"/>
      <c r="AF2" s="193"/>
      <c r="AH2" s="193"/>
      <c r="AI2" s="193"/>
      <c r="AJ2" s="193"/>
      <c r="AL2" s="193"/>
      <c r="AM2" s="193"/>
      <c r="AN2" s="193"/>
    </row>
    <row r="4" spans="2:63">
      <c r="B4" s="200" t="s">
        <v>23</v>
      </c>
      <c r="C4" s="200"/>
      <c r="D4" s="200"/>
      <c r="E4" s="200"/>
      <c r="F4" s="200"/>
      <c r="G4" s="200"/>
      <c r="H4" s="200"/>
      <c r="I4" s="200"/>
      <c r="J4" s="200"/>
      <c r="K4" s="200"/>
      <c r="L4" s="200"/>
      <c r="M4" s="200"/>
      <c r="N4" s="200"/>
      <c r="O4" s="200"/>
      <c r="P4" s="200"/>
      <c r="Q4" s="200"/>
      <c r="R4" s="200"/>
      <c r="S4" s="200"/>
      <c r="T4" s="200"/>
      <c r="U4" s="200"/>
      <c r="V4" s="200"/>
      <c r="AK4" s="193" t="s">
        <v>24</v>
      </c>
      <c r="AL4" s="193"/>
      <c r="AM4" s="193"/>
      <c r="AN4" s="193"/>
      <c r="AO4" s="270">
        <v>2016</v>
      </c>
      <c r="AP4" s="270"/>
      <c r="AQ4" s="270"/>
      <c r="AR4" s="17" t="s">
        <v>25</v>
      </c>
      <c r="AS4" s="270">
        <v>2</v>
      </c>
      <c r="AT4" s="270"/>
      <c r="AU4" s="270"/>
      <c r="AV4" s="17" t="s">
        <v>26</v>
      </c>
      <c r="AW4" s="270">
        <v>1</v>
      </c>
      <c r="AX4" s="270"/>
      <c r="AY4" s="270"/>
      <c r="AZ4" s="17" t="s">
        <v>27</v>
      </c>
    </row>
    <row r="5" spans="2:63" ht="14.25" customHeight="1">
      <c r="B5" s="194" t="s">
        <v>28</v>
      </c>
      <c r="C5" s="194"/>
      <c r="D5" s="191" t="s">
        <v>29</v>
      </c>
      <c r="E5" s="191"/>
      <c r="F5" s="191"/>
      <c r="G5" s="191"/>
      <c r="H5" s="191"/>
      <c r="I5" s="191"/>
      <c r="J5" s="192"/>
      <c r="K5" s="259" t="s">
        <v>85</v>
      </c>
      <c r="L5" s="260"/>
      <c r="M5" s="260"/>
      <c r="N5" s="260"/>
      <c r="O5" s="260"/>
      <c r="P5" s="260"/>
      <c r="Q5" s="260"/>
      <c r="R5" s="260"/>
      <c r="S5" s="260"/>
      <c r="T5" s="260"/>
      <c r="U5" s="260"/>
      <c r="V5" s="260"/>
      <c r="W5" s="260"/>
      <c r="X5" s="260"/>
      <c r="Y5" s="260"/>
      <c r="Z5" s="260"/>
      <c r="AA5" s="260"/>
      <c r="AB5" s="260"/>
      <c r="AC5" s="260"/>
      <c r="AD5" s="260"/>
      <c r="AE5" s="260"/>
      <c r="AF5" s="260"/>
      <c r="AG5" s="260"/>
      <c r="AH5" s="260"/>
      <c r="AI5" s="260"/>
      <c r="AJ5" s="260"/>
      <c r="AK5" s="260"/>
      <c r="AL5" s="260"/>
      <c r="AM5" s="260"/>
      <c r="AN5" s="260"/>
      <c r="AO5" s="260"/>
      <c r="AP5" s="260"/>
      <c r="AQ5" s="260"/>
      <c r="AR5" s="260"/>
      <c r="AS5" s="260"/>
      <c r="AT5" s="260"/>
      <c r="AU5" s="260"/>
      <c r="AV5" s="260"/>
      <c r="AW5" s="260"/>
      <c r="AX5" s="260"/>
      <c r="AY5" s="260"/>
      <c r="AZ5" s="260"/>
      <c r="BA5" s="260"/>
      <c r="BB5" s="260"/>
      <c r="BC5" s="260"/>
      <c r="BD5" s="260"/>
      <c r="BE5" s="261"/>
      <c r="BF5" s="201" t="s">
        <v>30</v>
      </c>
      <c r="BG5" s="201"/>
      <c r="BH5" s="201"/>
      <c r="BI5" s="201"/>
      <c r="BJ5" s="201"/>
      <c r="BK5" s="201"/>
    </row>
    <row r="6" spans="2:63" ht="14.25" customHeight="1">
      <c r="B6" s="194"/>
      <c r="C6" s="194"/>
      <c r="D6" s="182" t="s">
        <v>31</v>
      </c>
      <c r="E6" s="202"/>
      <c r="F6" s="202"/>
      <c r="G6" s="202"/>
      <c r="H6" s="202"/>
      <c r="I6" s="202"/>
      <c r="J6" s="202"/>
      <c r="K6" s="262" t="s">
        <v>8</v>
      </c>
      <c r="L6" s="263"/>
      <c r="M6" s="263"/>
      <c r="N6" s="263"/>
      <c r="O6" s="263"/>
      <c r="P6" s="263"/>
      <c r="Q6" s="263"/>
      <c r="R6" s="263"/>
      <c r="S6" s="263"/>
      <c r="T6" s="263"/>
      <c r="U6" s="263"/>
      <c r="V6" s="263"/>
      <c r="W6" s="263"/>
      <c r="X6" s="263"/>
      <c r="Y6" s="263"/>
      <c r="Z6" s="263"/>
      <c r="AA6" s="263"/>
      <c r="AB6" s="263"/>
      <c r="AC6" s="263"/>
      <c r="AD6" s="263"/>
      <c r="AE6" s="263"/>
      <c r="AF6" s="263"/>
      <c r="AG6" s="263"/>
      <c r="AH6" s="263"/>
      <c r="AI6" s="263"/>
      <c r="AJ6" s="263"/>
      <c r="AK6" s="263"/>
      <c r="AL6" s="263"/>
      <c r="AM6" s="263"/>
      <c r="AN6" s="263"/>
      <c r="AO6" s="263"/>
      <c r="AP6" s="263"/>
      <c r="AQ6" s="263"/>
      <c r="AR6" s="263"/>
      <c r="AS6" s="263"/>
      <c r="AT6" s="263"/>
      <c r="AU6" s="263"/>
      <c r="AV6" s="263"/>
      <c r="AW6" s="263"/>
      <c r="AX6" s="263"/>
      <c r="AY6" s="263"/>
      <c r="AZ6" s="263"/>
      <c r="BA6" s="263"/>
      <c r="BB6" s="263"/>
      <c r="BC6" s="263"/>
      <c r="BD6" s="263"/>
      <c r="BE6" s="264"/>
      <c r="BF6" s="201"/>
      <c r="BG6" s="201"/>
      <c r="BH6" s="201"/>
      <c r="BI6" s="201"/>
      <c r="BJ6" s="201"/>
      <c r="BK6" s="201"/>
    </row>
    <row r="7" spans="2:63" ht="14.25" customHeight="1">
      <c r="B7" s="194"/>
      <c r="C7" s="194"/>
      <c r="D7" s="184"/>
      <c r="E7" s="203"/>
      <c r="F7" s="203"/>
      <c r="G7" s="203"/>
      <c r="H7" s="203"/>
      <c r="I7" s="203"/>
      <c r="J7" s="203"/>
      <c r="K7" s="265"/>
      <c r="L7" s="266"/>
      <c r="M7" s="266"/>
      <c r="N7" s="266"/>
      <c r="O7" s="266"/>
      <c r="P7" s="266"/>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7"/>
      <c r="BF7" s="201"/>
      <c r="BG7" s="201"/>
      <c r="BH7" s="201"/>
      <c r="BI7" s="201"/>
      <c r="BJ7" s="201"/>
      <c r="BK7" s="201"/>
    </row>
    <row r="8" spans="2:63" ht="14.25" customHeight="1">
      <c r="B8" s="194"/>
      <c r="C8" s="194"/>
      <c r="D8" s="191" t="s">
        <v>29</v>
      </c>
      <c r="E8" s="191"/>
      <c r="F8" s="191"/>
      <c r="G8" s="191"/>
      <c r="H8" s="191"/>
      <c r="I8" s="191"/>
      <c r="J8" s="192"/>
      <c r="K8" s="259" t="s">
        <v>87</v>
      </c>
      <c r="L8" s="260"/>
      <c r="M8" s="260"/>
      <c r="N8" s="260"/>
      <c r="O8" s="260"/>
      <c r="P8" s="260"/>
      <c r="Q8" s="260"/>
      <c r="R8" s="260"/>
      <c r="S8" s="260"/>
      <c r="T8" s="260"/>
      <c r="U8" s="260"/>
      <c r="V8" s="260"/>
      <c r="W8" s="260"/>
      <c r="X8" s="260"/>
      <c r="Y8" s="260"/>
      <c r="Z8" s="260"/>
      <c r="AA8" s="260"/>
      <c r="AB8" s="260"/>
      <c r="AC8" s="260"/>
      <c r="AD8" s="260"/>
      <c r="AE8" s="260"/>
      <c r="AF8" s="260"/>
      <c r="AG8" s="260"/>
      <c r="AH8" s="260"/>
      <c r="AI8" s="260"/>
      <c r="AJ8" s="260"/>
      <c r="AK8" s="260"/>
      <c r="AL8" s="260"/>
      <c r="AM8" s="260"/>
      <c r="AN8" s="260"/>
      <c r="AO8" s="260"/>
      <c r="AP8" s="260"/>
      <c r="AQ8" s="260"/>
      <c r="AR8" s="260"/>
      <c r="AS8" s="260"/>
      <c r="AT8" s="260"/>
      <c r="AU8" s="260"/>
      <c r="AV8" s="260"/>
      <c r="AW8" s="260"/>
      <c r="AX8" s="260"/>
      <c r="AY8" s="260"/>
      <c r="AZ8" s="260"/>
      <c r="BA8" s="260"/>
      <c r="BB8" s="260"/>
      <c r="BC8" s="260"/>
      <c r="BD8" s="260"/>
      <c r="BE8" s="261"/>
      <c r="BF8" s="201"/>
      <c r="BG8" s="201"/>
      <c r="BH8" s="201"/>
      <c r="BI8" s="201"/>
      <c r="BJ8" s="201"/>
      <c r="BK8" s="201"/>
    </row>
    <row r="9" spans="2:63" ht="14.25" customHeight="1">
      <c r="B9" s="194"/>
      <c r="C9" s="194"/>
      <c r="D9" s="181" t="s">
        <v>33</v>
      </c>
      <c r="E9" s="181"/>
      <c r="F9" s="181"/>
      <c r="G9" s="181"/>
      <c r="H9" s="181"/>
      <c r="I9" s="181"/>
      <c r="J9" s="182"/>
      <c r="K9" s="262" t="s">
        <v>88</v>
      </c>
      <c r="L9" s="263"/>
      <c r="M9" s="263"/>
      <c r="N9" s="263"/>
      <c r="O9" s="263"/>
      <c r="P9" s="263"/>
      <c r="Q9" s="263"/>
      <c r="R9" s="263"/>
      <c r="S9" s="263"/>
      <c r="T9" s="263"/>
      <c r="U9" s="263"/>
      <c r="V9" s="263"/>
      <c r="W9" s="263"/>
      <c r="X9" s="263"/>
      <c r="Y9" s="263"/>
      <c r="Z9" s="263"/>
      <c r="AA9" s="263"/>
      <c r="AB9" s="263"/>
      <c r="AC9" s="263"/>
      <c r="AD9" s="263"/>
      <c r="AE9" s="263"/>
      <c r="AF9" s="263"/>
      <c r="AG9" s="263"/>
      <c r="AH9" s="263"/>
      <c r="AI9" s="263"/>
      <c r="AJ9" s="263"/>
      <c r="AK9" s="263"/>
      <c r="AL9" s="263"/>
      <c r="AM9" s="263"/>
      <c r="AN9" s="263"/>
      <c r="AO9" s="263"/>
      <c r="AP9" s="263"/>
      <c r="AQ9" s="263"/>
      <c r="AR9" s="263"/>
      <c r="AS9" s="263"/>
      <c r="AT9" s="263"/>
      <c r="AU9" s="263"/>
      <c r="AV9" s="263"/>
      <c r="AW9" s="263"/>
      <c r="AX9" s="263"/>
      <c r="AY9" s="263"/>
      <c r="AZ9" s="263"/>
      <c r="BA9" s="263"/>
      <c r="BB9" s="263"/>
      <c r="BC9" s="263"/>
      <c r="BD9" s="263"/>
      <c r="BE9" s="264"/>
      <c r="BF9" s="201"/>
      <c r="BG9" s="201"/>
      <c r="BH9" s="201"/>
      <c r="BI9" s="201"/>
      <c r="BJ9" s="201"/>
      <c r="BK9" s="201"/>
    </row>
    <row r="10" spans="2:63" ht="14.25" customHeight="1">
      <c r="B10" s="194"/>
      <c r="C10" s="194"/>
      <c r="D10" s="183"/>
      <c r="E10" s="183"/>
      <c r="F10" s="183"/>
      <c r="G10" s="183"/>
      <c r="H10" s="183"/>
      <c r="I10" s="183"/>
      <c r="J10" s="184"/>
      <c r="K10" s="265"/>
      <c r="L10" s="266"/>
      <c r="M10" s="266"/>
      <c r="N10" s="266"/>
      <c r="O10" s="266"/>
      <c r="P10" s="266"/>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7"/>
      <c r="BF10" s="201"/>
      <c r="BG10" s="201"/>
      <c r="BH10" s="201"/>
      <c r="BI10" s="201"/>
      <c r="BJ10" s="201"/>
      <c r="BK10" s="201"/>
    </row>
    <row r="11" spans="2:63" ht="14.25" customHeight="1">
      <c r="B11" s="194"/>
      <c r="C11" s="194"/>
      <c r="D11" s="161" t="s">
        <v>34</v>
      </c>
      <c r="E11" s="161"/>
      <c r="F11" s="161"/>
      <c r="G11" s="161"/>
      <c r="H11" s="161"/>
      <c r="I11" s="161"/>
      <c r="J11" s="178"/>
      <c r="K11" s="271" t="s">
        <v>89</v>
      </c>
      <c r="L11" s="251"/>
      <c r="M11" s="251"/>
      <c r="N11" s="251"/>
      <c r="O11" s="251"/>
      <c r="P11" s="251"/>
      <c r="Q11" s="251"/>
      <c r="R11" s="251"/>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row>
    <row r="12" spans="2:63" ht="14.25" customHeight="1">
      <c r="B12" s="194"/>
      <c r="C12" s="194"/>
      <c r="D12" s="161"/>
      <c r="E12" s="161"/>
      <c r="F12" s="161"/>
      <c r="G12" s="161"/>
      <c r="H12" s="161"/>
      <c r="I12" s="161"/>
      <c r="J12" s="178"/>
      <c r="K12" s="250"/>
      <c r="L12" s="251"/>
      <c r="M12" s="251"/>
      <c r="N12" s="251"/>
      <c r="O12" s="251"/>
      <c r="P12" s="251"/>
      <c r="Q12" s="251"/>
      <c r="R12" s="251"/>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row>
    <row r="13" spans="2:63" ht="14.25" customHeight="1">
      <c r="B13" s="194"/>
      <c r="C13" s="194"/>
      <c r="D13" s="161"/>
      <c r="E13" s="161"/>
      <c r="F13" s="161"/>
      <c r="G13" s="161"/>
      <c r="H13" s="161"/>
      <c r="I13" s="161"/>
      <c r="J13" s="178"/>
      <c r="K13" s="250"/>
      <c r="L13" s="251"/>
      <c r="M13" s="251"/>
      <c r="N13" s="251"/>
      <c r="O13" s="251"/>
      <c r="P13" s="251"/>
      <c r="Q13" s="251"/>
      <c r="R13" s="251"/>
      <c r="S13" s="251"/>
      <c r="T13" s="251"/>
      <c r="U13" s="251"/>
      <c r="V13" s="251"/>
      <c r="W13" s="251"/>
      <c r="X13" s="251"/>
      <c r="Y13" s="251"/>
      <c r="Z13" s="251"/>
      <c r="AA13" s="251"/>
      <c r="AB13" s="251"/>
      <c r="AC13" s="251"/>
      <c r="AD13" s="251"/>
      <c r="AE13" s="251"/>
      <c r="AF13" s="251"/>
      <c r="AG13" s="251"/>
      <c r="AH13" s="251"/>
      <c r="AI13" s="251"/>
      <c r="AJ13" s="251"/>
      <c r="AK13" s="251"/>
      <c r="AL13" s="251"/>
      <c r="AM13" s="251"/>
      <c r="AN13" s="251"/>
      <c r="AO13" s="251"/>
      <c r="AP13" s="251"/>
      <c r="AQ13" s="251"/>
      <c r="AR13" s="251"/>
      <c r="AS13" s="251"/>
      <c r="AT13" s="251"/>
      <c r="AU13" s="251"/>
      <c r="AV13" s="251"/>
      <c r="AW13" s="251"/>
      <c r="AX13" s="251"/>
      <c r="AY13" s="251"/>
      <c r="AZ13" s="251"/>
      <c r="BA13" s="251"/>
      <c r="BB13" s="251"/>
      <c r="BC13" s="251"/>
      <c r="BD13" s="251"/>
      <c r="BE13" s="251"/>
      <c r="BF13" s="251"/>
      <c r="BG13" s="251"/>
      <c r="BH13" s="251"/>
      <c r="BI13" s="251"/>
      <c r="BJ13" s="251"/>
      <c r="BK13" s="251"/>
    </row>
    <row r="14" spans="2:63" ht="14.25" customHeight="1">
      <c r="B14" s="194"/>
      <c r="C14" s="194"/>
      <c r="D14" s="191" t="s">
        <v>29</v>
      </c>
      <c r="E14" s="191"/>
      <c r="F14" s="191"/>
      <c r="G14" s="191"/>
      <c r="H14" s="191"/>
      <c r="I14" s="191"/>
      <c r="J14" s="192"/>
      <c r="K14" s="268" t="s">
        <v>90</v>
      </c>
      <c r="L14" s="269"/>
      <c r="M14" s="269"/>
      <c r="N14" s="269"/>
      <c r="O14" s="269"/>
      <c r="P14" s="269"/>
      <c r="Q14" s="269"/>
      <c r="R14" s="269"/>
      <c r="S14" s="269"/>
      <c r="T14" s="269"/>
      <c r="U14" s="269"/>
      <c r="V14" s="269"/>
      <c r="W14" s="269"/>
      <c r="X14" s="269"/>
      <c r="Y14" s="269"/>
      <c r="Z14" s="269"/>
      <c r="AA14" s="269"/>
      <c r="AB14" s="269"/>
      <c r="AC14" s="269"/>
      <c r="AD14" s="269"/>
      <c r="AE14" s="269"/>
      <c r="AF14" s="269"/>
      <c r="AG14" s="269"/>
      <c r="AH14" s="191" t="s">
        <v>114</v>
      </c>
      <c r="AI14" s="191"/>
      <c r="AJ14" s="191"/>
      <c r="AK14" s="191"/>
      <c r="AL14" s="191"/>
      <c r="AM14" s="191"/>
      <c r="AN14" s="192"/>
      <c r="AO14" s="268" t="s">
        <v>91</v>
      </c>
      <c r="AP14" s="269"/>
      <c r="AQ14" s="269"/>
      <c r="AR14" s="269"/>
      <c r="AS14" s="269"/>
      <c r="AT14" s="269"/>
      <c r="AU14" s="269"/>
      <c r="AV14" s="269"/>
      <c r="AW14" s="269"/>
      <c r="AX14" s="269"/>
      <c r="AY14" s="269"/>
      <c r="AZ14" s="269"/>
      <c r="BA14" s="269"/>
      <c r="BB14" s="269"/>
      <c r="BC14" s="269"/>
      <c r="BD14" s="269"/>
      <c r="BE14" s="269"/>
      <c r="BF14" s="269"/>
      <c r="BG14" s="269"/>
      <c r="BH14" s="269"/>
      <c r="BI14" s="269"/>
      <c r="BJ14" s="269"/>
      <c r="BK14" s="269"/>
    </row>
    <row r="15" spans="2:63" ht="14.25" customHeight="1">
      <c r="B15" s="194"/>
      <c r="C15" s="194"/>
      <c r="D15" s="181" t="s">
        <v>36</v>
      </c>
      <c r="E15" s="181"/>
      <c r="F15" s="181"/>
      <c r="G15" s="181"/>
      <c r="H15" s="181"/>
      <c r="I15" s="181"/>
      <c r="J15" s="182"/>
      <c r="K15" s="254" t="s">
        <v>92</v>
      </c>
      <c r="L15" s="255"/>
      <c r="M15" s="255"/>
      <c r="N15" s="255"/>
      <c r="O15" s="255"/>
      <c r="P15" s="255"/>
      <c r="Q15" s="255"/>
      <c r="R15" s="255"/>
      <c r="S15" s="255"/>
      <c r="T15" s="255"/>
      <c r="U15" s="255"/>
      <c r="V15" s="255"/>
      <c r="W15" s="255"/>
      <c r="X15" s="255"/>
      <c r="Y15" s="255"/>
      <c r="Z15" s="255"/>
      <c r="AA15" s="255"/>
      <c r="AB15" s="255"/>
      <c r="AC15" s="255"/>
      <c r="AD15" s="255"/>
      <c r="AE15" s="255"/>
      <c r="AF15" s="255"/>
      <c r="AG15" s="255"/>
      <c r="AH15" s="181" t="s">
        <v>37</v>
      </c>
      <c r="AI15" s="181"/>
      <c r="AJ15" s="181"/>
      <c r="AK15" s="181"/>
      <c r="AL15" s="181"/>
      <c r="AM15" s="181"/>
      <c r="AN15" s="182"/>
      <c r="AO15" s="254" t="s">
        <v>93</v>
      </c>
      <c r="AP15" s="255"/>
      <c r="AQ15" s="255"/>
      <c r="AR15" s="255"/>
      <c r="AS15" s="255"/>
      <c r="AT15" s="255"/>
      <c r="AU15" s="255"/>
      <c r="AV15" s="255"/>
      <c r="AW15" s="255"/>
      <c r="AX15" s="255"/>
      <c r="AY15" s="255"/>
      <c r="AZ15" s="255"/>
      <c r="BA15" s="255"/>
      <c r="BB15" s="255"/>
      <c r="BC15" s="255"/>
      <c r="BD15" s="255"/>
      <c r="BE15" s="255"/>
      <c r="BF15" s="255"/>
      <c r="BG15" s="255"/>
      <c r="BH15" s="255"/>
      <c r="BI15" s="255"/>
      <c r="BJ15" s="255"/>
      <c r="BK15" s="255"/>
    </row>
    <row r="16" spans="2:63" ht="14.25" customHeight="1">
      <c r="B16" s="194"/>
      <c r="C16" s="194"/>
      <c r="D16" s="183"/>
      <c r="E16" s="183"/>
      <c r="F16" s="183"/>
      <c r="G16" s="183"/>
      <c r="H16" s="183"/>
      <c r="I16" s="183"/>
      <c r="J16" s="184"/>
      <c r="K16" s="256"/>
      <c r="L16" s="257"/>
      <c r="M16" s="257"/>
      <c r="N16" s="257"/>
      <c r="O16" s="257"/>
      <c r="P16" s="257"/>
      <c r="Q16" s="257"/>
      <c r="R16" s="257"/>
      <c r="S16" s="257"/>
      <c r="T16" s="257"/>
      <c r="U16" s="257"/>
      <c r="V16" s="257"/>
      <c r="W16" s="257"/>
      <c r="X16" s="257"/>
      <c r="Y16" s="257"/>
      <c r="Z16" s="257"/>
      <c r="AA16" s="257"/>
      <c r="AB16" s="257"/>
      <c r="AC16" s="257"/>
      <c r="AD16" s="257"/>
      <c r="AE16" s="257"/>
      <c r="AF16" s="257"/>
      <c r="AG16" s="257"/>
      <c r="AH16" s="183"/>
      <c r="AI16" s="183"/>
      <c r="AJ16" s="183"/>
      <c r="AK16" s="183"/>
      <c r="AL16" s="183"/>
      <c r="AM16" s="183"/>
      <c r="AN16" s="184"/>
      <c r="AO16" s="256"/>
      <c r="AP16" s="257"/>
      <c r="AQ16" s="257"/>
      <c r="AR16" s="257"/>
      <c r="AS16" s="257"/>
      <c r="AT16" s="257"/>
      <c r="AU16" s="257"/>
      <c r="AV16" s="257"/>
      <c r="AW16" s="257"/>
      <c r="AX16" s="257"/>
      <c r="AY16" s="257"/>
      <c r="AZ16" s="257"/>
      <c r="BA16" s="257"/>
      <c r="BB16" s="257"/>
      <c r="BC16" s="257"/>
      <c r="BD16" s="257"/>
      <c r="BE16" s="257"/>
      <c r="BF16" s="257"/>
      <c r="BG16" s="257"/>
      <c r="BH16" s="257"/>
      <c r="BI16" s="257"/>
      <c r="BJ16" s="257"/>
      <c r="BK16" s="257"/>
    </row>
    <row r="17" spans="2:63" ht="14.25" customHeight="1">
      <c r="B17" s="194"/>
      <c r="C17" s="194"/>
      <c r="D17" s="161" t="s">
        <v>9</v>
      </c>
      <c r="E17" s="161"/>
      <c r="F17" s="161"/>
      <c r="G17" s="161"/>
      <c r="H17" s="161"/>
      <c r="I17" s="161"/>
      <c r="J17" s="178"/>
      <c r="K17" s="258" t="s">
        <v>94</v>
      </c>
      <c r="L17" s="251"/>
      <c r="M17" s="251"/>
      <c r="N17" s="251"/>
      <c r="O17" s="251"/>
      <c r="P17" s="251"/>
      <c r="Q17" s="251"/>
      <c r="R17" s="251"/>
      <c r="S17" s="251"/>
      <c r="T17" s="251"/>
      <c r="U17" s="251"/>
      <c r="V17" s="251"/>
      <c r="W17" s="251"/>
      <c r="X17" s="251"/>
      <c r="Y17" s="251"/>
      <c r="Z17" s="251"/>
      <c r="AA17" s="251"/>
      <c r="AB17" s="251"/>
      <c r="AC17" s="251"/>
      <c r="AD17" s="251"/>
      <c r="AE17" s="251"/>
      <c r="AF17" s="251"/>
      <c r="AG17" s="251"/>
      <c r="AH17" s="161" t="s">
        <v>10</v>
      </c>
      <c r="AI17" s="161"/>
      <c r="AJ17" s="161"/>
      <c r="AK17" s="161"/>
      <c r="AL17" s="161"/>
      <c r="AM17" s="161"/>
      <c r="AN17" s="178"/>
      <c r="AO17" s="258" t="s">
        <v>95</v>
      </c>
      <c r="AP17" s="251"/>
      <c r="AQ17" s="251"/>
      <c r="AR17" s="251"/>
      <c r="AS17" s="251"/>
      <c r="AT17" s="251"/>
      <c r="AU17" s="251"/>
      <c r="AV17" s="251"/>
      <c r="AW17" s="251"/>
      <c r="AX17" s="251"/>
      <c r="AY17" s="251"/>
      <c r="AZ17" s="251"/>
      <c r="BA17" s="251"/>
      <c r="BB17" s="251"/>
      <c r="BC17" s="251"/>
      <c r="BD17" s="251"/>
      <c r="BE17" s="251"/>
      <c r="BF17" s="251"/>
      <c r="BG17" s="251"/>
      <c r="BH17" s="251"/>
      <c r="BI17" s="251"/>
      <c r="BJ17" s="251"/>
      <c r="BK17" s="251"/>
    </row>
    <row r="18" spans="2:63" ht="14.25" customHeight="1">
      <c r="B18" s="194"/>
      <c r="C18" s="194"/>
      <c r="D18" s="161"/>
      <c r="E18" s="161"/>
      <c r="F18" s="161"/>
      <c r="G18" s="161"/>
      <c r="H18" s="161"/>
      <c r="I18" s="161"/>
      <c r="J18" s="178"/>
      <c r="K18" s="250"/>
      <c r="L18" s="251"/>
      <c r="M18" s="251"/>
      <c r="N18" s="251"/>
      <c r="O18" s="251"/>
      <c r="P18" s="251"/>
      <c r="Q18" s="251"/>
      <c r="R18" s="251"/>
      <c r="S18" s="251"/>
      <c r="T18" s="251"/>
      <c r="U18" s="251"/>
      <c r="V18" s="251"/>
      <c r="W18" s="251"/>
      <c r="X18" s="251"/>
      <c r="Y18" s="251"/>
      <c r="Z18" s="251"/>
      <c r="AA18" s="251"/>
      <c r="AB18" s="251"/>
      <c r="AC18" s="251"/>
      <c r="AD18" s="251"/>
      <c r="AE18" s="251"/>
      <c r="AF18" s="251"/>
      <c r="AG18" s="251"/>
      <c r="AH18" s="161"/>
      <c r="AI18" s="161"/>
      <c r="AJ18" s="161"/>
      <c r="AK18" s="161"/>
      <c r="AL18" s="161"/>
      <c r="AM18" s="161"/>
      <c r="AN18" s="178"/>
      <c r="AO18" s="250"/>
      <c r="AP18" s="251"/>
      <c r="AQ18" s="251"/>
      <c r="AR18" s="251"/>
      <c r="AS18" s="251"/>
      <c r="AT18" s="251"/>
      <c r="AU18" s="251"/>
      <c r="AV18" s="251"/>
      <c r="AW18" s="251"/>
      <c r="AX18" s="251"/>
      <c r="AY18" s="251"/>
      <c r="AZ18" s="251"/>
      <c r="BA18" s="251"/>
      <c r="BB18" s="251"/>
      <c r="BC18" s="251"/>
      <c r="BD18" s="251"/>
      <c r="BE18" s="251"/>
      <c r="BF18" s="251"/>
      <c r="BG18" s="251"/>
      <c r="BH18" s="251"/>
      <c r="BI18" s="251"/>
      <c r="BJ18" s="251"/>
      <c r="BK18" s="251"/>
    </row>
    <row r="19" spans="2:63" ht="14.25" customHeight="1">
      <c r="B19" s="194"/>
      <c r="C19" s="194"/>
      <c r="D19" s="161" t="s">
        <v>12</v>
      </c>
      <c r="E19" s="161"/>
      <c r="F19" s="161"/>
      <c r="G19" s="161"/>
      <c r="H19" s="161"/>
      <c r="I19" s="161"/>
      <c r="J19" s="178"/>
      <c r="K19" s="250" t="s">
        <v>97</v>
      </c>
      <c r="L19" s="251"/>
      <c r="M19" s="251"/>
      <c r="N19" s="251"/>
      <c r="O19" s="251"/>
      <c r="P19" s="251"/>
      <c r="Q19" s="251"/>
      <c r="R19" s="251"/>
      <c r="S19" s="251"/>
      <c r="T19" s="251"/>
      <c r="U19" s="251"/>
      <c r="V19" s="251"/>
      <c r="W19" s="251"/>
      <c r="X19" s="251"/>
      <c r="Y19" s="251"/>
      <c r="Z19" s="251"/>
      <c r="AA19" s="251"/>
      <c r="AB19" s="251"/>
      <c r="AC19" s="251"/>
      <c r="AD19" s="251"/>
      <c r="AE19" s="251"/>
      <c r="AF19" s="251"/>
      <c r="AG19" s="251"/>
      <c r="AH19" s="161" t="s">
        <v>42</v>
      </c>
      <c r="AI19" s="161"/>
      <c r="AJ19" s="161"/>
      <c r="AK19" s="161"/>
      <c r="AL19" s="161"/>
      <c r="AM19" s="161"/>
      <c r="AN19" s="178"/>
      <c r="AO19" s="250" t="s">
        <v>99</v>
      </c>
      <c r="AP19" s="251"/>
      <c r="AQ19" s="251"/>
      <c r="AR19" s="251"/>
      <c r="AS19" s="251"/>
      <c r="AT19" s="251"/>
      <c r="AU19" s="251"/>
      <c r="AV19" s="251"/>
      <c r="AW19" s="251"/>
      <c r="AX19" s="251"/>
      <c r="AY19" s="251"/>
      <c r="AZ19" s="251"/>
      <c r="BA19" s="251"/>
      <c r="BB19" s="251"/>
      <c r="BC19" s="251"/>
      <c r="BD19" s="251"/>
      <c r="BE19" s="251"/>
      <c r="BF19" s="251"/>
      <c r="BG19" s="251"/>
      <c r="BH19" s="251"/>
      <c r="BI19" s="251"/>
      <c r="BJ19" s="251"/>
      <c r="BK19" s="251"/>
    </row>
    <row r="20" spans="2:63" ht="14.25" customHeight="1">
      <c r="B20" s="194"/>
      <c r="C20" s="194"/>
      <c r="D20" s="161"/>
      <c r="E20" s="161"/>
      <c r="F20" s="161"/>
      <c r="G20" s="161"/>
      <c r="H20" s="161"/>
      <c r="I20" s="161"/>
      <c r="J20" s="178"/>
      <c r="K20" s="250"/>
      <c r="L20" s="251"/>
      <c r="M20" s="251"/>
      <c r="N20" s="251"/>
      <c r="O20" s="251"/>
      <c r="P20" s="251"/>
      <c r="Q20" s="251"/>
      <c r="R20" s="251"/>
      <c r="S20" s="251"/>
      <c r="T20" s="251"/>
      <c r="U20" s="251"/>
      <c r="V20" s="251"/>
      <c r="W20" s="251"/>
      <c r="X20" s="251"/>
      <c r="Y20" s="251"/>
      <c r="Z20" s="251"/>
      <c r="AA20" s="251"/>
      <c r="AB20" s="251"/>
      <c r="AC20" s="251"/>
      <c r="AD20" s="251"/>
      <c r="AE20" s="251"/>
      <c r="AF20" s="251"/>
      <c r="AG20" s="251"/>
      <c r="AH20" s="161"/>
      <c r="AI20" s="161"/>
      <c r="AJ20" s="161"/>
      <c r="AK20" s="161"/>
      <c r="AL20" s="161"/>
      <c r="AM20" s="161"/>
      <c r="AN20" s="178"/>
      <c r="AO20" s="250"/>
      <c r="AP20" s="251"/>
      <c r="AQ20" s="251"/>
      <c r="AR20" s="251"/>
      <c r="AS20" s="251"/>
      <c r="AT20" s="251"/>
      <c r="AU20" s="251"/>
      <c r="AV20" s="251"/>
      <c r="AW20" s="251"/>
      <c r="AX20" s="251"/>
      <c r="AY20" s="251"/>
      <c r="AZ20" s="251"/>
      <c r="BA20" s="251"/>
      <c r="BB20" s="251"/>
      <c r="BC20" s="251"/>
      <c r="BD20" s="251"/>
      <c r="BE20" s="251"/>
      <c r="BF20" s="251"/>
      <c r="BG20" s="251"/>
      <c r="BH20" s="251"/>
      <c r="BI20" s="251"/>
      <c r="BJ20" s="251"/>
      <c r="BK20" s="251"/>
    </row>
    <row r="21" spans="2:63" ht="14.25" customHeight="1"/>
    <row r="22" spans="2:63" ht="14.25" customHeight="1">
      <c r="B22" s="146" t="s">
        <v>43</v>
      </c>
      <c r="C22" s="147"/>
      <c r="D22" s="158" t="s">
        <v>44</v>
      </c>
      <c r="E22" s="159"/>
      <c r="F22" s="159"/>
      <c r="G22" s="159"/>
      <c r="H22" s="159"/>
      <c r="I22" s="159"/>
      <c r="J22" s="159"/>
      <c r="K22" s="272" t="s">
        <v>115</v>
      </c>
      <c r="L22" s="272"/>
      <c r="M22" s="272"/>
      <c r="N22" s="272"/>
      <c r="O22" s="272"/>
      <c r="P22" s="272"/>
      <c r="Q22" s="272"/>
      <c r="R22" s="272"/>
      <c r="S22" s="272"/>
      <c r="T22" s="272"/>
      <c r="U22" s="272"/>
      <c r="V22" s="272"/>
      <c r="W22" s="273"/>
      <c r="X22" s="160" t="s">
        <v>46</v>
      </c>
      <c r="Y22" s="161"/>
      <c r="Z22" s="161"/>
      <c r="AA22" s="161"/>
      <c r="AB22" s="161"/>
      <c r="AC22" s="161"/>
      <c r="AD22" s="162"/>
      <c r="AE22" s="157" t="s">
        <v>47</v>
      </c>
      <c r="AF22" s="163"/>
      <c r="AG22" s="163"/>
      <c r="AH22" s="163"/>
      <c r="AI22" s="163"/>
      <c r="AJ22" s="163"/>
      <c r="AK22" s="163"/>
      <c r="AL22" s="163"/>
      <c r="AM22" s="163"/>
      <c r="AN22" s="163"/>
      <c r="AO22" s="163"/>
      <c r="AP22" s="163"/>
      <c r="AQ22" s="163"/>
      <c r="AR22" s="178" t="s">
        <v>48</v>
      </c>
      <c r="AS22" s="159"/>
      <c r="AT22" s="159"/>
      <c r="AU22" s="159"/>
      <c r="AV22" s="159"/>
      <c r="AW22" s="159"/>
      <c r="AX22" s="159"/>
      <c r="AY22" s="180" t="s">
        <v>116</v>
      </c>
      <c r="AZ22" s="163"/>
      <c r="BA22" s="163"/>
      <c r="BB22" s="163"/>
      <c r="BC22" s="163"/>
      <c r="BD22" s="163"/>
      <c r="BE22" s="163"/>
      <c r="BF22" s="163"/>
      <c r="BG22" s="163"/>
      <c r="BH22" s="163"/>
      <c r="BI22" s="163"/>
      <c r="BJ22" s="163"/>
      <c r="BK22" s="163"/>
    </row>
    <row r="23" spans="2:63" ht="14.25" customHeight="1">
      <c r="B23" s="148"/>
      <c r="C23" s="149"/>
      <c r="D23" s="158"/>
      <c r="E23" s="159"/>
      <c r="F23" s="159"/>
      <c r="G23" s="159"/>
      <c r="H23" s="159"/>
      <c r="I23" s="159"/>
      <c r="J23" s="159"/>
      <c r="K23" s="272"/>
      <c r="L23" s="272"/>
      <c r="M23" s="272"/>
      <c r="N23" s="272"/>
      <c r="O23" s="272"/>
      <c r="P23" s="272"/>
      <c r="Q23" s="272"/>
      <c r="R23" s="272"/>
      <c r="S23" s="272"/>
      <c r="T23" s="272"/>
      <c r="U23" s="272"/>
      <c r="V23" s="272"/>
      <c r="W23" s="273"/>
      <c r="X23" s="160"/>
      <c r="Y23" s="161"/>
      <c r="Z23" s="161"/>
      <c r="AA23" s="161"/>
      <c r="AB23" s="161"/>
      <c r="AC23" s="161"/>
      <c r="AD23" s="162"/>
      <c r="AE23" s="157"/>
      <c r="AF23" s="163"/>
      <c r="AG23" s="163"/>
      <c r="AH23" s="163"/>
      <c r="AI23" s="163"/>
      <c r="AJ23" s="163"/>
      <c r="AK23" s="163"/>
      <c r="AL23" s="163"/>
      <c r="AM23" s="163"/>
      <c r="AN23" s="163"/>
      <c r="AO23" s="163"/>
      <c r="AP23" s="163"/>
      <c r="AQ23" s="163"/>
      <c r="AR23" s="178"/>
      <c r="AS23" s="159"/>
      <c r="AT23" s="159"/>
      <c r="AU23" s="159"/>
      <c r="AV23" s="159"/>
      <c r="AW23" s="159"/>
      <c r="AX23" s="159"/>
      <c r="AY23" s="180"/>
      <c r="AZ23" s="163"/>
      <c r="BA23" s="163"/>
      <c r="BB23" s="163"/>
      <c r="BC23" s="163"/>
      <c r="BD23" s="163"/>
      <c r="BE23" s="163"/>
      <c r="BF23" s="163"/>
      <c r="BG23" s="163"/>
      <c r="BH23" s="163"/>
      <c r="BI23" s="163"/>
      <c r="BJ23" s="163"/>
      <c r="BK23" s="163"/>
    </row>
    <row r="24" spans="2:63" ht="14.25" customHeight="1">
      <c r="B24" s="148"/>
      <c r="C24" s="149"/>
      <c r="D24" s="158" t="s">
        <v>50</v>
      </c>
      <c r="E24" s="159"/>
      <c r="F24" s="159"/>
      <c r="G24" s="159"/>
      <c r="H24" s="159"/>
      <c r="I24" s="159"/>
      <c r="J24" s="159"/>
      <c r="K24" s="180" t="s">
        <v>117</v>
      </c>
      <c r="L24" s="163"/>
      <c r="M24" s="163"/>
      <c r="N24" s="163"/>
      <c r="O24" s="163"/>
      <c r="P24" s="163"/>
      <c r="Q24" s="163"/>
      <c r="R24" s="163"/>
      <c r="S24" s="163"/>
      <c r="T24" s="163"/>
      <c r="U24" s="163"/>
      <c r="V24" s="163"/>
      <c r="W24" s="163"/>
      <c r="X24" s="160" t="s">
        <v>52</v>
      </c>
      <c r="Y24" s="161"/>
      <c r="Z24" s="161"/>
      <c r="AA24" s="161"/>
      <c r="AB24" s="161"/>
      <c r="AC24" s="161"/>
      <c r="AD24" s="162"/>
      <c r="AE24" s="157" t="s">
        <v>53</v>
      </c>
      <c r="AF24" s="163"/>
      <c r="AG24" s="163"/>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c r="BI24" s="163"/>
      <c r="BJ24" s="163"/>
      <c r="BK24" s="163"/>
    </row>
    <row r="25" spans="2:63" ht="14.25" customHeight="1">
      <c r="B25" s="148"/>
      <c r="C25" s="149"/>
      <c r="D25" s="158"/>
      <c r="E25" s="159"/>
      <c r="F25" s="159"/>
      <c r="G25" s="159"/>
      <c r="H25" s="159"/>
      <c r="I25" s="159"/>
      <c r="J25" s="159"/>
      <c r="K25" s="180"/>
      <c r="L25" s="163"/>
      <c r="M25" s="163"/>
      <c r="N25" s="163"/>
      <c r="O25" s="163"/>
      <c r="P25" s="163"/>
      <c r="Q25" s="163"/>
      <c r="R25" s="163"/>
      <c r="S25" s="163"/>
      <c r="T25" s="163"/>
      <c r="U25" s="163"/>
      <c r="V25" s="163"/>
      <c r="W25" s="163"/>
      <c r="X25" s="160"/>
      <c r="Y25" s="161"/>
      <c r="Z25" s="161"/>
      <c r="AA25" s="161"/>
      <c r="AB25" s="161"/>
      <c r="AC25" s="161"/>
      <c r="AD25" s="162"/>
      <c r="AE25" s="157"/>
      <c r="AF25" s="163"/>
      <c r="AG25" s="163"/>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c r="BI25" s="163"/>
      <c r="BJ25" s="163"/>
      <c r="BK25" s="163"/>
    </row>
    <row r="26" spans="2:63" ht="14.25" customHeight="1">
      <c r="B26" s="148"/>
      <c r="C26" s="149"/>
      <c r="D26" s="158" t="s">
        <v>72</v>
      </c>
      <c r="E26" s="159"/>
      <c r="F26" s="159"/>
      <c r="G26" s="159"/>
      <c r="H26" s="159"/>
      <c r="I26" s="159"/>
      <c r="J26" s="159"/>
      <c r="K26" s="164" t="s">
        <v>118</v>
      </c>
      <c r="L26" s="164"/>
      <c r="M26" s="164"/>
      <c r="N26" s="164"/>
      <c r="O26" s="164"/>
      <c r="P26" s="164"/>
      <c r="Q26" s="164"/>
      <c r="R26" s="164"/>
      <c r="S26" s="164"/>
      <c r="T26" s="164"/>
      <c r="U26" s="164"/>
      <c r="V26" s="164"/>
      <c r="W26" s="165"/>
    </row>
    <row r="27" spans="2:63" ht="14.25" customHeight="1">
      <c r="B27" s="148"/>
      <c r="C27" s="149"/>
      <c r="D27" s="158"/>
      <c r="E27" s="159"/>
      <c r="F27" s="159"/>
      <c r="G27" s="159"/>
      <c r="H27" s="159"/>
      <c r="I27" s="159"/>
      <c r="J27" s="159"/>
      <c r="K27" s="164"/>
      <c r="L27" s="164"/>
      <c r="M27" s="164"/>
      <c r="N27" s="164"/>
      <c r="O27" s="164"/>
      <c r="P27" s="164"/>
      <c r="Q27" s="164"/>
      <c r="R27" s="164"/>
      <c r="S27" s="164"/>
      <c r="T27" s="164"/>
      <c r="U27" s="164"/>
      <c r="V27" s="164"/>
      <c r="W27" s="165"/>
      <c r="Y27" s="155" t="s">
        <v>119</v>
      </c>
      <c r="Z27" s="155"/>
      <c r="AA27" s="155"/>
      <c r="AB27" s="155"/>
      <c r="AC27" s="155"/>
      <c r="AD27" s="155"/>
      <c r="AE27" s="155"/>
      <c r="AF27" s="155"/>
      <c r="AG27" s="155"/>
      <c r="AH27" s="155"/>
      <c r="AI27" s="155"/>
      <c r="AJ27" s="155"/>
      <c r="AK27" s="155"/>
      <c r="AL27" s="155"/>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row>
    <row r="28" spans="2:63" ht="14.25" customHeight="1">
      <c r="B28" s="148"/>
      <c r="C28" s="149"/>
      <c r="D28" s="166" t="s">
        <v>74</v>
      </c>
      <c r="E28" s="167"/>
      <c r="F28" s="167"/>
      <c r="G28" s="167"/>
      <c r="H28" s="167"/>
      <c r="I28" s="167"/>
      <c r="J28" s="167"/>
      <c r="K28" s="172"/>
      <c r="L28" s="172"/>
      <c r="M28" s="172"/>
      <c r="N28" s="172"/>
      <c r="O28" s="172"/>
      <c r="P28" s="172"/>
      <c r="Q28" s="172"/>
      <c r="R28" s="172"/>
      <c r="S28" s="172"/>
      <c r="T28" s="172"/>
      <c r="U28" s="172"/>
      <c r="V28" s="172"/>
      <c r="W28" s="173"/>
      <c r="Y28" s="155" t="s">
        <v>120</v>
      </c>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row>
    <row r="29" spans="2:63" ht="14.25" customHeight="1">
      <c r="B29" s="148"/>
      <c r="C29" s="149"/>
      <c r="D29" s="168"/>
      <c r="E29" s="169"/>
      <c r="F29" s="169"/>
      <c r="G29" s="169"/>
      <c r="H29" s="169"/>
      <c r="I29" s="169"/>
      <c r="J29" s="169"/>
      <c r="K29" s="174"/>
      <c r="L29" s="174"/>
      <c r="M29" s="174"/>
      <c r="N29" s="174"/>
      <c r="O29" s="174"/>
      <c r="P29" s="174"/>
      <c r="Q29" s="174"/>
      <c r="R29" s="174"/>
      <c r="S29" s="174"/>
      <c r="T29" s="174"/>
      <c r="U29" s="174"/>
      <c r="V29" s="174"/>
      <c r="W29" s="175"/>
      <c r="Y29" s="155" t="s">
        <v>122</v>
      </c>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row>
    <row r="30" spans="2:63" ht="14.25" customHeight="1">
      <c r="B30" s="148"/>
      <c r="C30" s="149"/>
      <c r="D30" s="168"/>
      <c r="E30" s="169"/>
      <c r="F30" s="169"/>
      <c r="G30" s="169"/>
      <c r="H30" s="169"/>
      <c r="I30" s="169"/>
      <c r="J30" s="169"/>
      <c r="K30" s="174"/>
      <c r="L30" s="174"/>
      <c r="M30" s="174"/>
      <c r="N30" s="174"/>
      <c r="O30" s="174"/>
      <c r="P30" s="174"/>
      <c r="Q30" s="174"/>
      <c r="R30" s="174"/>
      <c r="S30" s="174"/>
      <c r="T30" s="174"/>
      <c r="U30" s="174"/>
      <c r="V30" s="174"/>
      <c r="W30" s="175"/>
      <c r="Y30" s="155" t="s">
        <v>121</v>
      </c>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row>
    <row r="31" spans="2:63" ht="14.25" customHeight="1">
      <c r="B31" s="148"/>
      <c r="C31" s="149"/>
      <c r="D31" s="168"/>
      <c r="E31" s="169"/>
      <c r="F31" s="169"/>
      <c r="G31" s="169"/>
      <c r="H31" s="169"/>
      <c r="I31" s="169"/>
      <c r="J31" s="169"/>
      <c r="K31" s="174"/>
      <c r="L31" s="174"/>
      <c r="M31" s="174"/>
      <c r="N31" s="174"/>
      <c r="O31" s="174"/>
      <c r="P31" s="174"/>
      <c r="Q31" s="174"/>
      <c r="R31" s="174"/>
      <c r="S31" s="174"/>
      <c r="T31" s="174"/>
      <c r="U31" s="174"/>
      <c r="V31" s="174"/>
      <c r="W31" s="175"/>
      <c r="Y31" s="19" t="s">
        <v>124</v>
      </c>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row>
    <row r="32" spans="2:63" ht="14.25" customHeight="1">
      <c r="B32" s="148"/>
      <c r="C32" s="149"/>
      <c r="D32" s="168"/>
      <c r="E32" s="169"/>
      <c r="F32" s="169"/>
      <c r="G32" s="169"/>
      <c r="H32" s="169"/>
      <c r="I32" s="169"/>
      <c r="J32" s="169"/>
      <c r="K32" s="174"/>
      <c r="L32" s="174"/>
      <c r="M32" s="174"/>
      <c r="N32" s="174"/>
      <c r="O32" s="174"/>
      <c r="P32" s="174"/>
      <c r="Q32" s="174"/>
      <c r="R32" s="174"/>
      <c r="S32" s="174"/>
      <c r="T32" s="174"/>
      <c r="U32" s="174"/>
      <c r="V32" s="174"/>
      <c r="W32" s="175"/>
      <c r="Y32" s="19" t="s">
        <v>105</v>
      </c>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row>
    <row r="33" spans="2:63" ht="14.25" customHeight="1">
      <c r="B33" s="150"/>
      <c r="C33" s="151"/>
      <c r="D33" s="170"/>
      <c r="E33" s="171"/>
      <c r="F33" s="171"/>
      <c r="G33" s="171"/>
      <c r="H33" s="171"/>
      <c r="I33" s="171"/>
      <c r="J33" s="171"/>
      <c r="K33" s="176"/>
      <c r="L33" s="176"/>
      <c r="M33" s="176"/>
      <c r="N33" s="176"/>
      <c r="O33" s="176"/>
      <c r="P33" s="176"/>
      <c r="Q33" s="176"/>
      <c r="R33" s="176"/>
      <c r="S33" s="176"/>
      <c r="T33" s="176"/>
      <c r="U33" s="176"/>
      <c r="V33" s="176"/>
      <c r="W33" s="177"/>
      <c r="Y33" s="19" t="s">
        <v>108</v>
      </c>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row>
    <row r="34" spans="2:63" ht="14.25" customHeight="1"/>
    <row r="35" spans="2:63" ht="14.25" customHeight="1">
      <c r="Y35" s="274" t="s">
        <v>125</v>
      </c>
      <c r="Z35" s="275"/>
      <c r="AA35" s="275"/>
      <c r="AB35" s="275"/>
      <c r="AC35" s="275"/>
      <c r="AD35" s="275"/>
      <c r="AE35" s="275"/>
      <c r="AF35" s="275"/>
      <c r="AG35" s="275"/>
      <c r="AH35" s="275"/>
      <c r="AI35" s="275"/>
      <c r="AJ35" s="275"/>
      <c r="AK35" s="275"/>
      <c r="AL35" s="275"/>
      <c r="AM35" s="275"/>
      <c r="AN35" s="275"/>
      <c r="AO35" s="275"/>
      <c r="AP35" s="275"/>
      <c r="AQ35" s="275"/>
      <c r="AR35" s="274" t="s">
        <v>110</v>
      </c>
      <c r="AS35" s="274"/>
      <c r="AT35" s="274"/>
      <c r="AU35" s="274"/>
      <c r="AV35" s="274"/>
      <c r="AW35" s="274"/>
      <c r="AX35" s="274"/>
      <c r="AY35" s="274"/>
      <c r="AZ35" s="274"/>
      <c r="BA35" s="274"/>
      <c r="BB35" s="274"/>
      <c r="BC35" s="274"/>
      <c r="BD35" s="274"/>
      <c r="BE35" s="274"/>
      <c r="BF35" s="274"/>
      <c r="BG35" s="274"/>
      <c r="BH35" s="274"/>
      <c r="BI35" s="274"/>
      <c r="BJ35" s="274"/>
      <c r="BK35" s="18"/>
    </row>
    <row r="36" spans="2:63" ht="14.25" customHeight="1">
      <c r="Y36" s="275"/>
      <c r="Z36" s="275"/>
      <c r="AA36" s="275"/>
      <c r="AB36" s="275"/>
      <c r="AC36" s="275"/>
      <c r="AD36" s="275"/>
      <c r="AE36" s="275"/>
      <c r="AF36" s="275"/>
      <c r="AG36" s="275"/>
      <c r="AH36" s="275"/>
      <c r="AI36" s="275"/>
      <c r="AJ36" s="275"/>
      <c r="AK36" s="275"/>
      <c r="AL36" s="275"/>
      <c r="AM36" s="275"/>
      <c r="AN36" s="275"/>
      <c r="AO36" s="275"/>
      <c r="AP36" s="275"/>
      <c r="AQ36" s="275"/>
      <c r="AR36" s="274"/>
      <c r="AS36" s="274"/>
      <c r="AT36" s="274"/>
      <c r="AU36" s="274"/>
      <c r="AV36" s="274"/>
      <c r="AW36" s="274"/>
      <c r="AX36" s="274"/>
      <c r="AY36" s="274"/>
      <c r="AZ36" s="274"/>
      <c r="BA36" s="274"/>
      <c r="BB36" s="274"/>
      <c r="BC36" s="274"/>
      <c r="BD36" s="274"/>
      <c r="BE36" s="274"/>
      <c r="BF36" s="274"/>
      <c r="BG36" s="274"/>
      <c r="BH36" s="274"/>
      <c r="BI36" s="274"/>
      <c r="BJ36" s="274"/>
      <c r="BK36" s="18"/>
    </row>
    <row r="37" spans="2:63">
      <c r="H37" s="154" t="s">
        <v>68</v>
      </c>
      <c r="I37" s="154"/>
      <c r="J37" s="154"/>
      <c r="Y37" s="275"/>
      <c r="Z37" s="275"/>
      <c r="AA37" s="275"/>
      <c r="AB37" s="275"/>
      <c r="AC37" s="275"/>
      <c r="AD37" s="275"/>
      <c r="AE37" s="275"/>
      <c r="AF37" s="275"/>
      <c r="AG37" s="275"/>
      <c r="AH37" s="275"/>
      <c r="AI37" s="275"/>
      <c r="AJ37" s="275"/>
      <c r="AK37" s="275"/>
      <c r="AL37" s="275"/>
      <c r="AM37" s="275"/>
      <c r="AN37" s="275"/>
      <c r="AO37" s="275"/>
      <c r="AP37" s="275"/>
      <c r="AQ37" s="275"/>
      <c r="AR37" s="274"/>
      <c r="AS37" s="274"/>
      <c r="AT37" s="274"/>
      <c r="AU37" s="274"/>
      <c r="AV37" s="274"/>
      <c r="AW37" s="274"/>
      <c r="AX37" s="274"/>
      <c r="AY37" s="274"/>
      <c r="AZ37" s="274"/>
      <c r="BA37" s="274"/>
      <c r="BB37" s="274"/>
      <c r="BC37" s="274"/>
      <c r="BD37" s="274"/>
      <c r="BE37" s="274"/>
      <c r="BF37" s="274"/>
      <c r="BG37" s="274"/>
      <c r="BH37" s="274"/>
      <c r="BI37" s="274"/>
      <c r="BJ37" s="274"/>
      <c r="BK37" s="18"/>
    </row>
    <row r="38" spans="2:63">
      <c r="Y38" s="275"/>
      <c r="Z38" s="275"/>
      <c r="AA38" s="275"/>
      <c r="AB38" s="275"/>
      <c r="AC38" s="275"/>
      <c r="AD38" s="275"/>
      <c r="AE38" s="275"/>
      <c r="AF38" s="275"/>
      <c r="AG38" s="275"/>
      <c r="AH38" s="275"/>
      <c r="AI38" s="275"/>
      <c r="AJ38" s="275"/>
      <c r="AK38" s="275"/>
      <c r="AL38" s="275"/>
      <c r="AM38" s="275"/>
      <c r="AN38" s="275"/>
      <c r="AO38" s="275"/>
      <c r="AP38" s="275"/>
      <c r="AQ38" s="275"/>
      <c r="AR38" s="274"/>
      <c r="AS38" s="274"/>
      <c r="AT38" s="274"/>
      <c r="AU38" s="274"/>
      <c r="AV38" s="274"/>
      <c r="AW38" s="274"/>
      <c r="AX38" s="274"/>
      <c r="AY38" s="274"/>
      <c r="AZ38" s="274"/>
      <c r="BA38" s="274"/>
      <c r="BB38" s="274"/>
      <c r="BC38" s="274"/>
      <c r="BD38" s="274"/>
      <c r="BE38" s="274"/>
      <c r="BF38" s="274"/>
      <c r="BG38" s="274"/>
      <c r="BH38" s="274"/>
      <c r="BI38" s="274"/>
      <c r="BJ38" s="274"/>
    </row>
  </sheetData>
  <mergeCells count="60">
    <mergeCell ref="Y35:AQ38"/>
    <mergeCell ref="AR35:BJ38"/>
    <mergeCell ref="H37:J37"/>
    <mergeCell ref="AY22:BK23"/>
    <mergeCell ref="D24:J25"/>
    <mergeCell ref="K24:W25"/>
    <mergeCell ref="X24:AD25"/>
    <mergeCell ref="AE24:BK25"/>
    <mergeCell ref="D26:J27"/>
    <mergeCell ref="K26:W27"/>
    <mergeCell ref="Y27:BK27"/>
    <mergeCell ref="AR22:AX23"/>
    <mergeCell ref="D19:J20"/>
    <mergeCell ref="K19:AG20"/>
    <mergeCell ref="AH19:AN20"/>
    <mergeCell ref="AO19:BK20"/>
    <mergeCell ref="B22:C33"/>
    <mergeCell ref="D22:J23"/>
    <mergeCell ref="K22:W23"/>
    <mergeCell ref="X22:AD23"/>
    <mergeCell ref="AE22:AQ23"/>
    <mergeCell ref="D28:J33"/>
    <mergeCell ref="K28:W33"/>
    <mergeCell ref="Y28:BK28"/>
    <mergeCell ref="Y29:BK29"/>
    <mergeCell ref="Y30:BK30"/>
    <mergeCell ref="D15:J16"/>
    <mergeCell ref="K15:AG16"/>
    <mergeCell ref="AH15:AN16"/>
    <mergeCell ref="AO15:BK16"/>
    <mergeCell ref="D17:J18"/>
    <mergeCell ref="K17:AG18"/>
    <mergeCell ref="AH17:AN18"/>
    <mergeCell ref="AO17:BK18"/>
    <mergeCell ref="K8:BE8"/>
    <mergeCell ref="D9:J10"/>
    <mergeCell ref="K9:BE10"/>
    <mergeCell ref="AH14:AN14"/>
    <mergeCell ref="AO14:BK14"/>
    <mergeCell ref="AO4:AQ4"/>
    <mergeCell ref="AS4:AU4"/>
    <mergeCell ref="AW4:AY4"/>
    <mergeCell ref="B5:C20"/>
    <mergeCell ref="D5:J5"/>
    <mergeCell ref="K5:BE5"/>
    <mergeCell ref="D11:J13"/>
    <mergeCell ref="K11:BK13"/>
    <mergeCell ref="D14:J14"/>
    <mergeCell ref="K14:AG14"/>
    <mergeCell ref="B4:V4"/>
    <mergeCell ref="AK4:AN4"/>
    <mergeCell ref="BF5:BK10"/>
    <mergeCell ref="D6:J7"/>
    <mergeCell ref="K6:BE7"/>
    <mergeCell ref="D8:J8"/>
    <mergeCell ref="B1:U2"/>
    <mergeCell ref="Z2:AC2"/>
    <mergeCell ref="AD2:AF2"/>
    <mergeCell ref="AH2:AJ2"/>
    <mergeCell ref="AL2:AN2"/>
  </mergeCells>
  <phoneticPr fontId="1"/>
  <printOptions horizontalCentered="1" verticalCentered="1"/>
  <pageMargins left="0.23622047244094491" right="0.23622047244094491" top="0.55118110236220474" bottom="0.55118110236220474" header="0.31496062992125984" footer="0.31496062992125984"/>
  <pageSetup paperSize="9"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7</vt:i4>
      </vt:variant>
      <vt:variant>
        <vt:lpstr>名前付き一覧</vt:lpstr>
      </vt:variant>
      <vt:variant>
        <vt:i4>4</vt:i4>
      </vt:variant>
    </vt:vector>
  </HeadingPairs>
  <TitlesOfParts>
    <vt:vector size="11" baseType="lpstr">
      <vt:lpstr>見積書</vt:lpstr>
      <vt:lpstr>JW請求書</vt:lpstr>
      <vt:lpstr>【代理店】ANE契約書</vt:lpstr>
      <vt:lpstr>【代理店】AFI契約書（面接）</vt:lpstr>
      <vt:lpstr>【代理店】AFI契約書（応募）</vt:lpstr>
      <vt:lpstr>【代理店】AFI契約書（記入例）</vt:lpstr>
      <vt:lpstr>【代理店】ANE契約書 (記入例)</vt:lpstr>
      <vt:lpstr>【代理店】ANE契約書!Print_Area</vt:lpstr>
      <vt:lpstr>'【代理店】ANE契約書 (記入例)'!Print_Area</vt:lpstr>
      <vt:lpstr>JW請求書!Print_Area</vt:lpstr>
      <vt:lpstr>見積書!Print_Area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mfclouduser</dc:creator>
  <cp:lastModifiedBy>BackOffice</cp:lastModifiedBy>
  <cp:lastPrinted>2019-12-04T05:55:14Z</cp:lastPrinted>
  <dcterms:created xsi:type="dcterms:W3CDTF">2014-09-25T07:52:29Z</dcterms:created>
  <dcterms:modified xsi:type="dcterms:W3CDTF">2024-08-27T06:39:34Z</dcterms:modified>
</cp:coreProperties>
</file>